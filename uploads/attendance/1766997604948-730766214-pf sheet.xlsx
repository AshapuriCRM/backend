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30"/>
  </bookViews>
  <sheets>
    <sheet name="PF SHEET (MPPTCL) " sheetId="1" r:id="rId1"/>
  </sheets>
  <definedNames>
    <definedName name="_xlnm.Print_Area" localSheetId="0">'PF SHEET (MPPTCL) '!$A$1:$F$88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1" l="1"/>
  <c r="F88" i="1" s="1"/>
  <c r="F90" i="1" s="1"/>
</calcChain>
</file>

<file path=xl/sharedStrings.xml><?xml version="1.0" encoding="utf-8"?>
<sst xmlns="http://schemas.openxmlformats.org/spreadsheetml/2006/main" count="355" uniqueCount="161">
  <si>
    <t>ASHAPURI SECURITY SERVICES</t>
  </si>
  <si>
    <t xml:space="preserve">         MONTH OF AUG -2025  (PF SHEET MPPTCL )      DATE :- 09/09/2025  </t>
  </si>
  <si>
    <t>S NO.</t>
  </si>
  <si>
    <t>ASHAPURI A/C NO.</t>
  </si>
  <si>
    <t xml:space="preserve">IFSC CODE </t>
  </si>
  <si>
    <t xml:space="preserve">A/C NUMBER </t>
  </si>
  <si>
    <t>NAME OF EMPLOYEES</t>
  </si>
  <si>
    <t>SALARY</t>
  </si>
  <si>
    <t>DIVISION</t>
  </si>
  <si>
    <t>07881010001960</t>
  </si>
  <si>
    <t>BARB0PITHAM</t>
  </si>
  <si>
    <t>SONU RANJAN</t>
  </si>
  <si>
    <t xml:space="preserve">220 KV FACE -1 PITHAMPUR </t>
  </si>
  <si>
    <t>SBIN0001262</t>
  </si>
  <si>
    <t>CHANDRABHAN GOND</t>
  </si>
  <si>
    <t>UBIN0548430</t>
  </si>
  <si>
    <t>RAJESH KUMAR PATEL</t>
  </si>
  <si>
    <t>CBIN0281611</t>
  </si>
  <si>
    <t>ARJUN JAGDISH CHENDAL</t>
  </si>
  <si>
    <t>SBIN0008283</t>
  </si>
  <si>
    <t>AMIT VISHWAKARMA</t>
  </si>
  <si>
    <t>SBIN0030466</t>
  </si>
  <si>
    <t>SUKHCHAND PRAJAPAT</t>
  </si>
  <si>
    <t>CBIN0281856</t>
  </si>
  <si>
    <t xml:space="preserve">ARUN PARMAR </t>
  </si>
  <si>
    <t>SBIN0030044</t>
  </si>
  <si>
    <t>AKASH MUWEL</t>
  </si>
  <si>
    <t>FINO0001001</t>
  </si>
  <si>
    <t>20081194065</t>
  </si>
  <si>
    <t>DADULAL PRAJAPATI</t>
  </si>
  <si>
    <t>220 KV FACE -3 PITHAMPUR</t>
  </si>
  <si>
    <t>SBIN0030193</t>
  </si>
  <si>
    <t>VISHESH BHURRIYA</t>
  </si>
  <si>
    <t>CNRB0017760</t>
  </si>
  <si>
    <t>RAJENDRA DINDOR</t>
  </si>
  <si>
    <t>BKID0009818</t>
  </si>
  <si>
    <t>RAMKARAN</t>
  </si>
  <si>
    <t>BKID0009518</t>
  </si>
  <si>
    <t>SANTOSH PRAHLAD LODHI</t>
  </si>
  <si>
    <t>UTIB0001089</t>
  </si>
  <si>
    <t>VIKASH PATEL</t>
  </si>
  <si>
    <t>UBIN0553824</t>
  </si>
  <si>
    <t>VISHNU KATIJA</t>
  </si>
  <si>
    <t>SBIN0017809</t>
  </si>
  <si>
    <t>HARICHANDRA PATEL</t>
  </si>
  <si>
    <t>132KV NETRIP (pithampur)</t>
  </si>
  <si>
    <t>BARB0THIKRI</t>
  </si>
  <si>
    <t>SHIVAM ACHALE</t>
  </si>
  <si>
    <t>ANKIT MOURYA</t>
  </si>
  <si>
    <t>KAMLESH DAWER</t>
  </si>
  <si>
    <t>BKID0008843</t>
  </si>
  <si>
    <t>JITENDRA SINGH RAWAT</t>
  </si>
  <si>
    <t xml:space="preserve">PITHAMPUR  132 kv SEZE </t>
  </si>
  <si>
    <t>SBIN0000396</t>
  </si>
  <si>
    <t>ANIL NALWAYA</t>
  </si>
  <si>
    <t>SBIN0030048</t>
  </si>
  <si>
    <t>NAHAR SINGH RAWAT</t>
  </si>
  <si>
    <t>CHANDU DAWAR</t>
  </si>
  <si>
    <t>BKID0009822</t>
  </si>
  <si>
    <t>SOURABH CHOUHAN</t>
  </si>
  <si>
    <t>132KV BETMA (pithampur)</t>
  </si>
  <si>
    <t>CBIN0282550</t>
  </si>
  <si>
    <t>SHRIRAM KANNOJ</t>
  </si>
  <si>
    <t>AJAY SOLANKI</t>
  </si>
  <si>
    <t>SBIN0007291</t>
  </si>
  <si>
    <t>RAKESH KUMAR CHANDRAWAT THAROD</t>
  </si>
  <si>
    <t>132KV MANDSOUR</t>
  </si>
  <si>
    <t>SBIN0016550</t>
  </si>
  <si>
    <t>SURESH KUMAR SURYAVANSHI</t>
  </si>
  <si>
    <t>SBIN0030099</t>
  </si>
  <si>
    <t>PRAHLAD PARMAR</t>
  </si>
  <si>
    <t>CBIN0280771</t>
  </si>
  <si>
    <t>KOUSHAL PANDAY</t>
  </si>
  <si>
    <t>SBIN0030160</t>
  </si>
  <si>
    <t>VIKAS</t>
  </si>
  <si>
    <t>132 KV SITAMAU (Mandsaur)</t>
  </si>
  <si>
    <t>SBIN0030061</t>
  </si>
  <si>
    <t>PAWAN SEN</t>
  </si>
  <si>
    <t>SBIN0006266</t>
  </si>
  <si>
    <t>JAGDISH DHANGAR</t>
  </si>
  <si>
    <t>SHAKTI SINGH</t>
  </si>
  <si>
    <t>BKID0009140</t>
  </si>
  <si>
    <t>OMPRAKASH JOSHI</t>
  </si>
  <si>
    <t>220 KV SUWASRA (Mandsaur)</t>
  </si>
  <si>
    <t>SBIN0017113</t>
  </si>
  <si>
    <t>AKASH KETHWAS</t>
  </si>
  <si>
    <t>CBIN0280776</t>
  </si>
  <si>
    <t>JAKIR HUSAIN</t>
  </si>
  <si>
    <t>SURESH SURYAVANSHI</t>
  </si>
  <si>
    <t>ARVIND MEHAR</t>
  </si>
  <si>
    <t>SUNIL</t>
  </si>
  <si>
    <t>SHAMBHU PANWAR</t>
  </si>
  <si>
    <t>RAJKUMAR</t>
  </si>
  <si>
    <r>
      <t>220KV GUJARKHEDI</t>
    </r>
    <r>
      <rPr>
        <sz val="10"/>
        <color indexed="8"/>
        <rFont val="Calibri"/>
        <family val="2"/>
      </rPr>
      <t xml:space="preserve"> (MANDSAUR)</t>
    </r>
  </si>
  <si>
    <t>NARAYAN LAL PANWAR</t>
  </si>
  <si>
    <t>MUKESH KUMAR</t>
  </si>
  <si>
    <t>GOPAL GEHALOT</t>
  </si>
  <si>
    <t>ARUN SURYAVANSHI</t>
  </si>
  <si>
    <t>DHARMPAL SINGH CHANDRAWAT</t>
  </si>
  <si>
    <t>ASHOK KUMAR</t>
  </si>
  <si>
    <t>AUBL0002324</t>
  </si>
  <si>
    <t>2211232439893192</t>
  </si>
  <si>
    <t>KAMAL SINGH</t>
  </si>
  <si>
    <t>2301232455278095</t>
  </si>
  <si>
    <t>SURESH MEHAR</t>
  </si>
  <si>
    <t>132KV SUWASRA (Mandsaur)</t>
  </si>
  <si>
    <t>JAGDISHCHANDRA MEHAR</t>
  </si>
  <si>
    <t>KALURAM PANWAR</t>
  </si>
  <si>
    <t>MUKESH RATHORE</t>
  </si>
  <si>
    <t>DEEPAK DHANGAR</t>
  </si>
  <si>
    <t>132KV SHAMGARH (Mandsaur)</t>
  </si>
  <si>
    <t>RAMCHANDRA RATHOR</t>
  </si>
  <si>
    <t>NAYIM</t>
  </si>
  <si>
    <t>BALURAM PANWAR</t>
  </si>
  <si>
    <t>SBIN0030362</t>
  </si>
  <si>
    <t>GOVIND PALIWAL</t>
  </si>
  <si>
    <t>220 KV NEPANIYA (Mandsaur)</t>
  </si>
  <si>
    <t>SATPAL SINGH SOLANKI</t>
  </si>
  <si>
    <t>SBIN0030058</t>
  </si>
  <si>
    <t>DASHRATH SINGH</t>
  </si>
  <si>
    <t>PAWAN KUMAR</t>
  </si>
  <si>
    <t>JAGDISH RATHORE</t>
  </si>
  <si>
    <t>YASHWANT KUMAR</t>
  </si>
  <si>
    <t>CBIN0281043</t>
  </si>
  <si>
    <t xml:space="preserve">LOKENDRA MEENA </t>
  </si>
  <si>
    <t>CBIN0282539</t>
  </si>
  <si>
    <t>DINESH KUMAR GEHLOT</t>
  </si>
  <si>
    <t>132 KV GAROTH (Mandsaur)</t>
  </si>
  <si>
    <t>KANHAIYA LAL</t>
  </si>
  <si>
    <t>JASVANT SINGH</t>
  </si>
  <si>
    <t>RAJU SINGH</t>
  </si>
  <si>
    <t>SBIN0030057</t>
  </si>
  <si>
    <t>NEMICHAND MEGHWAL</t>
  </si>
  <si>
    <t>220 KV BHANPURA (Mandsaur)</t>
  </si>
  <si>
    <t>RATI RAM</t>
  </si>
  <si>
    <t>RAM CHANDRA</t>
  </si>
  <si>
    <t>BDBL0001369</t>
  </si>
  <si>
    <t>GOVIND YADAV</t>
  </si>
  <si>
    <t>VINOD KUMAR MEGHWAL</t>
  </si>
  <si>
    <t>CBIN0282181</t>
  </si>
  <si>
    <t>ANKUSH KUMAR</t>
  </si>
  <si>
    <t>31645642672</t>
  </si>
  <si>
    <t>BHERULAL BAGDI</t>
  </si>
  <si>
    <t>35156504954</t>
  </si>
  <si>
    <t>DEVENDRA SINGH</t>
  </si>
  <si>
    <t>400 kv SITAMAU (Mandsaur)</t>
  </si>
  <si>
    <t>MITHLESHVAR</t>
  </si>
  <si>
    <t>CBIN0MPDCAU</t>
  </si>
  <si>
    <t>162010884179</t>
  </si>
  <si>
    <t>ISHWAR SINGH SISODIYA</t>
  </si>
  <si>
    <t>RAHUL</t>
  </si>
  <si>
    <t>BKID0009133</t>
  </si>
  <si>
    <t>NITEN SINGH</t>
  </si>
  <si>
    <t>913310110007770</t>
  </si>
  <si>
    <t>AASHISH SHUKLA</t>
  </si>
  <si>
    <t>DIGVIJAY DAS</t>
  </si>
  <si>
    <t>SUJAN SINGH RATHOR</t>
  </si>
  <si>
    <t>34204010460</t>
  </si>
  <si>
    <t>SHRAVAN SINGH RAJPOOT</t>
  </si>
  <si>
    <t>TOTAL</t>
  </si>
  <si>
    <t>pf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</si>
</sst>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0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2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88C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2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8" fillId="3" borderId="1" xfId="0" quotePrefix="1" applyNumberFormat="1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vertical="center"/>
    </xf>
    <xf numFmtId="1" fontId="10" fillId="5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/>
    </xf>
    <xf numFmtId="0" fontId="0" fillId="14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0" fillId="18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/>
    </xf>
    <xf numFmtId="49" fontId="12" fillId="0" borderId="4" xfId="0" applyNumberFormat="1" applyFont="1" applyFill="1" applyBorder="1" applyAlignment="1">
      <alignment horizontal="center" vertical="center"/>
    </xf>
    <xf numFmtId="49" fontId="12" fillId="0" borderId="5" xfId="0" applyNumberFormat="1" applyFont="1" applyFill="1" applyBorder="1" applyAlignment="1">
      <alignment horizontal="center" vertical="center"/>
    </xf>
    <xf numFmtId="49" fontId="12" fillId="0" borderId="6" xfId="0" applyNumberFormat="1" applyFont="1" applyFill="1" applyBorder="1" applyAlignment="1">
      <alignment horizontal="center" vertical="center"/>
    </xf>
    <xf numFmtId="1" fontId="13" fillId="0" borderId="3" xfId="0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 vertical="center"/>
    </xf>
    <xf numFmtId="1" fontId="15" fillId="0" borderId="6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Alignment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left"/>
    </xf>
    <xf numFmtId="49" fontId="14" fillId="0" borderId="0" xfId="0" applyNumberFormat="1" applyFont="1" applyBorder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 applyAlignment="1"/>
    <xf numFmtId="0" fontId="14" fillId="0" borderId="0" xfId="0" applyFont="1" applyFill="1" applyAlignment="1">
      <alignment horizont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352"/>
  <sheetViews>
    <sheetView tabSelected="1" topLeftCell="B1" zoomScaleNormal="100" zoomScaleSheetLayoutView="90" workbookViewId="0">
      <pane ySplit="3" topLeftCell="A4" activePane="bottomLeft" state="frozen"/>
      <selection pane="bottomLeft" activeCell="F91" sqref="F91"/>
    </sheetView>
  </sheetViews>
  <sheetFormatPr defaultRowHeight="18.75" x14ac:dyDescent="0.3"/>
  <cols>
    <col min="1" max="1" width="5" style="67" customWidth="1"/>
    <col min="2" max="2" width="20.140625" style="58" customWidth="1"/>
    <col min="3" max="3" width="17.140625" style="58" customWidth="1"/>
    <col min="4" max="4" width="22.85546875" style="58" customWidth="1"/>
    <col min="5" max="5" width="32.28515625" style="59" customWidth="1"/>
    <col min="6" max="6" width="13.5703125" style="60" bestFit="1" customWidth="1"/>
    <col min="7" max="7" width="28.28515625" style="61" customWidth="1"/>
    <col min="8" max="8" width="9.140625" customWidth="1"/>
  </cols>
  <sheetData>
    <row r="1" spans="1:15" ht="25.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15" ht="28.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15" s="8" customFormat="1" ht="24" customHeight="1" x14ac:dyDescent="0.25">
      <c r="A3" s="3" t="s">
        <v>2</v>
      </c>
      <c r="B3" s="3" t="s">
        <v>3</v>
      </c>
      <c r="C3" s="4" t="s">
        <v>4</v>
      </c>
      <c r="D3" s="5" t="s">
        <v>5</v>
      </c>
      <c r="E3" s="3" t="s">
        <v>6</v>
      </c>
      <c r="F3" s="6" t="s">
        <v>7</v>
      </c>
      <c r="G3" s="7" t="s">
        <v>8</v>
      </c>
    </row>
    <row r="4" spans="1:15" s="17" customFormat="1" ht="31.5" customHeight="1" x14ac:dyDescent="0.25">
      <c r="A4" s="9">
        <v>1</v>
      </c>
      <c r="B4" s="10" t="s">
        <v>9</v>
      </c>
      <c r="C4" s="11" t="s">
        <v>10</v>
      </c>
      <c r="D4" s="12">
        <v>57730100018152</v>
      </c>
      <c r="E4" s="13" t="s">
        <v>11</v>
      </c>
      <c r="F4" s="14">
        <v>8538</v>
      </c>
      <c r="G4" s="15" t="s">
        <v>12</v>
      </c>
      <c r="H4" s="16"/>
    </row>
    <row r="5" spans="1:15" s="17" customFormat="1" ht="31.5" customHeight="1" x14ac:dyDescent="0.25">
      <c r="A5" s="9">
        <v>2</v>
      </c>
      <c r="B5" s="10" t="s">
        <v>9</v>
      </c>
      <c r="C5" s="11" t="s">
        <v>13</v>
      </c>
      <c r="D5" s="12">
        <v>35129746760</v>
      </c>
      <c r="E5" s="13" t="s">
        <v>14</v>
      </c>
      <c r="F5" s="14">
        <v>6099</v>
      </c>
      <c r="G5" s="15" t="s">
        <v>12</v>
      </c>
      <c r="H5" s="16"/>
    </row>
    <row r="6" spans="1:15" s="17" customFormat="1" ht="31.5" customHeight="1" x14ac:dyDescent="0.25">
      <c r="A6" s="9">
        <v>3</v>
      </c>
      <c r="B6" s="10" t="s">
        <v>9</v>
      </c>
      <c r="C6" s="11" t="s">
        <v>15</v>
      </c>
      <c r="D6" s="12">
        <v>484302120007503</v>
      </c>
      <c r="E6" s="13" t="s">
        <v>16</v>
      </c>
      <c r="F6" s="14">
        <v>10978</v>
      </c>
      <c r="G6" s="15" t="s">
        <v>12</v>
      </c>
      <c r="H6" s="16"/>
    </row>
    <row r="7" spans="1:15" s="17" customFormat="1" ht="31.5" customHeight="1" x14ac:dyDescent="0.25">
      <c r="A7" s="9">
        <v>4</v>
      </c>
      <c r="B7" s="10" t="s">
        <v>9</v>
      </c>
      <c r="C7" s="11" t="s">
        <v>17</v>
      </c>
      <c r="D7" s="12">
        <v>3283701024</v>
      </c>
      <c r="E7" s="13" t="s">
        <v>18</v>
      </c>
      <c r="F7" s="14">
        <v>10571</v>
      </c>
      <c r="G7" s="15" t="s">
        <v>12</v>
      </c>
      <c r="H7" s="16"/>
    </row>
    <row r="8" spans="1:15" s="17" customFormat="1" ht="31.5" customHeight="1" x14ac:dyDescent="0.25">
      <c r="A8" s="9">
        <v>5</v>
      </c>
      <c r="B8" s="10" t="s">
        <v>9</v>
      </c>
      <c r="C8" s="18" t="s">
        <v>19</v>
      </c>
      <c r="D8" s="12">
        <v>43658790807</v>
      </c>
      <c r="E8" s="13" t="s">
        <v>20</v>
      </c>
      <c r="F8" s="14">
        <v>10978</v>
      </c>
      <c r="G8" s="15" t="s">
        <v>12</v>
      </c>
      <c r="H8" s="16"/>
      <c r="O8" s="19">
        <v>8815744367</v>
      </c>
    </row>
    <row r="9" spans="1:15" s="17" customFormat="1" ht="31.5" customHeight="1" x14ac:dyDescent="0.25">
      <c r="A9" s="9">
        <v>6</v>
      </c>
      <c r="B9" s="10" t="s">
        <v>9</v>
      </c>
      <c r="C9" s="11" t="s">
        <v>21</v>
      </c>
      <c r="D9" s="12">
        <v>63048492760</v>
      </c>
      <c r="E9" s="13" t="s">
        <v>22</v>
      </c>
      <c r="F9" s="14">
        <v>10571</v>
      </c>
      <c r="G9" s="15" t="s">
        <v>12</v>
      </c>
      <c r="H9" s="16"/>
    </row>
    <row r="10" spans="1:15" s="17" customFormat="1" ht="31.5" customHeight="1" x14ac:dyDescent="0.25">
      <c r="A10" s="9">
        <v>7</v>
      </c>
      <c r="B10" s="10" t="s">
        <v>9</v>
      </c>
      <c r="C10" s="11" t="s">
        <v>23</v>
      </c>
      <c r="D10" s="12">
        <v>5516547225</v>
      </c>
      <c r="E10" s="13" t="s">
        <v>24</v>
      </c>
      <c r="F10" s="14">
        <v>10978</v>
      </c>
      <c r="G10" s="15" t="s">
        <v>12</v>
      </c>
      <c r="H10" s="16"/>
    </row>
    <row r="11" spans="1:15" s="17" customFormat="1" ht="31.5" customHeight="1" x14ac:dyDescent="0.25">
      <c r="A11" s="9">
        <v>8</v>
      </c>
      <c r="B11" s="10" t="s">
        <v>9</v>
      </c>
      <c r="C11" s="18" t="s">
        <v>25</v>
      </c>
      <c r="D11" s="12">
        <v>39553134345</v>
      </c>
      <c r="E11" s="13" t="s">
        <v>26</v>
      </c>
      <c r="F11" s="14">
        <v>6912</v>
      </c>
      <c r="G11" s="15" t="s">
        <v>12</v>
      </c>
    </row>
    <row r="12" spans="1:15" s="17" customFormat="1" ht="31.5" customHeight="1" x14ac:dyDescent="0.25">
      <c r="A12" s="9">
        <v>9</v>
      </c>
      <c r="B12" s="10" t="s">
        <v>9</v>
      </c>
      <c r="C12" s="11" t="s">
        <v>27</v>
      </c>
      <c r="D12" s="20" t="s">
        <v>28</v>
      </c>
      <c r="E12" s="13" t="s">
        <v>29</v>
      </c>
      <c r="F12" s="14">
        <v>10571</v>
      </c>
      <c r="G12" s="21" t="s">
        <v>30</v>
      </c>
      <c r="H12" s="16"/>
    </row>
    <row r="13" spans="1:15" s="17" customFormat="1" ht="31.5" customHeight="1" x14ac:dyDescent="0.25">
      <c r="A13" s="9">
        <v>10</v>
      </c>
      <c r="B13" s="10" t="s">
        <v>9</v>
      </c>
      <c r="C13" s="11" t="s">
        <v>31</v>
      </c>
      <c r="D13" s="12">
        <v>38458819096</v>
      </c>
      <c r="E13" s="13" t="s">
        <v>32</v>
      </c>
      <c r="F13" s="14">
        <v>10978</v>
      </c>
      <c r="G13" s="21" t="s">
        <v>30</v>
      </c>
      <c r="H13" s="16"/>
    </row>
    <row r="14" spans="1:15" s="17" customFormat="1" ht="31.5" customHeight="1" x14ac:dyDescent="0.25">
      <c r="A14" s="9">
        <v>11</v>
      </c>
      <c r="B14" s="10" t="s">
        <v>9</v>
      </c>
      <c r="C14" s="11" t="s">
        <v>33</v>
      </c>
      <c r="D14" s="12">
        <v>77602250028090</v>
      </c>
      <c r="E14" s="13" t="s">
        <v>34</v>
      </c>
      <c r="F14" s="14">
        <v>10571</v>
      </c>
      <c r="G14" s="21" t="s">
        <v>30</v>
      </c>
      <c r="H14" s="22"/>
      <c r="I14" s="16"/>
      <c r="J14" s="16"/>
      <c r="K14" s="16"/>
    </row>
    <row r="15" spans="1:15" s="17" customFormat="1" ht="31.5" customHeight="1" x14ac:dyDescent="0.25">
      <c r="A15" s="9">
        <v>12</v>
      </c>
      <c r="B15" s="10" t="s">
        <v>9</v>
      </c>
      <c r="C15" s="11" t="s">
        <v>35</v>
      </c>
      <c r="D15" s="12">
        <v>981818210000305</v>
      </c>
      <c r="E15" s="13" t="s">
        <v>36</v>
      </c>
      <c r="F15" s="14">
        <v>10571</v>
      </c>
      <c r="G15" s="21" t="s">
        <v>30</v>
      </c>
      <c r="H15" s="16"/>
    </row>
    <row r="16" spans="1:15" s="17" customFormat="1" ht="31.5" customHeight="1" x14ac:dyDescent="0.25">
      <c r="A16" s="9">
        <v>13</v>
      </c>
      <c r="B16" s="10" t="s">
        <v>9</v>
      </c>
      <c r="C16" s="11" t="s">
        <v>37</v>
      </c>
      <c r="D16" s="12">
        <v>951810310000018</v>
      </c>
      <c r="E16" s="13" t="s">
        <v>38</v>
      </c>
      <c r="F16" s="14">
        <v>10978</v>
      </c>
      <c r="G16" s="21" t="s">
        <v>30</v>
      </c>
      <c r="H16" s="16"/>
    </row>
    <row r="17" spans="1:13" s="17" customFormat="1" ht="31.5" customHeight="1" x14ac:dyDescent="0.25">
      <c r="A17" s="9">
        <v>14</v>
      </c>
      <c r="B17" s="10" t="s">
        <v>9</v>
      </c>
      <c r="C17" s="11" t="s">
        <v>39</v>
      </c>
      <c r="D17" s="20">
        <v>922010051465849</v>
      </c>
      <c r="E17" s="13" t="s">
        <v>40</v>
      </c>
      <c r="F17" s="14">
        <v>10978</v>
      </c>
      <c r="G17" s="21" t="s">
        <v>30</v>
      </c>
      <c r="H17" s="16"/>
    </row>
    <row r="18" spans="1:13" s="17" customFormat="1" ht="31.5" customHeight="1" x14ac:dyDescent="0.25">
      <c r="A18" s="9">
        <v>15</v>
      </c>
      <c r="B18" s="10" t="s">
        <v>9</v>
      </c>
      <c r="C18" s="11" t="s">
        <v>41</v>
      </c>
      <c r="D18" s="20">
        <v>538202120006192</v>
      </c>
      <c r="E18" s="13" t="s">
        <v>42</v>
      </c>
      <c r="F18" s="14">
        <v>10978</v>
      </c>
      <c r="G18" s="21" t="s">
        <v>30</v>
      </c>
      <c r="H18" s="16"/>
    </row>
    <row r="19" spans="1:13" s="17" customFormat="1" ht="31.5" customHeight="1" x14ac:dyDescent="0.25">
      <c r="A19" s="9">
        <v>16</v>
      </c>
      <c r="B19" s="10" t="s">
        <v>9</v>
      </c>
      <c r="C19" s="11" t="s">
        <v>43</v>
      </c>
      <c r="D19" s="12">
        <v>40645731676</v>
      </c>
      <c r="E19" s="13" t="s">
        <v>44</v>
      </c>
      <c r="F19" s="23">
        <v>9758</v>
      </c>
      <c r="G19" s="24" t="s">
        <v>45</v>
      </c>
      <c r="H19" s="16"/>
    </row>
    <row r="20" spans="1:13" s="17" customFormat="1" ht="31.5" customHeight="1" x14ac:dyDescent="0.25">
      <c r="A20" s="9">
        <v>17</v>
      </c>
      <c r="B20" s="10" t="s">
        <v>9</v>
      </c>
      <c r="C20" s="11" t="s">
        <v>46</v>
      </c>
      <c r="D20" s="12">
        <v>44548100006151</v>
      </c>
      <c r="E20" s="13" t="s">
        <v>47</v>
      </c>
      <c r="F20" s="23">
        <v>9758</v>
      </c>
      <c r="G20" s="24" t="s">
        <v>45</v>
      </c>
      <c r="H20" s="16"/>
    </row>
    <row r="21" spans="1:13" s="17" customFormat="1" ht="31.5" customHeight="1" x14ac:dyDescent="0.25">
      <c r="A21" s="9">
        <v>18</v>
      </c>
      <c r="B21" s="10" t="s">
        <v>9</v>
      </c>
      <c r="C21" s="11" t="s">
        <v>10</v>
      </c>
      <c r="D21" s="12">
        <v>57738100016957</v>
      </c>
      <c r="E21" s="13" t="s">
        <v>48</v>
      </c>
      <c r="F21" s="23">
        <v>9758</v>
      </c>
      <c r="G21" s="24" t="s">
        <v>45</v>
      </c>
      <c r="H21" s="16"/>
    </row>
    <row r="22" spans="1:13" s="17" customFormat="1" ht="31.5" customHeight="1" x14ac:dyDescent="0.25">
      <c r="A22" s="9">
        <v>19</v>
      </c>
      <c r="B22" s="10" t="s">
        <v>9</v>
      </c>
      <c r="C22" s="11" t="s">
        <v>31</v>
      </c>
      <c r="D22" s="12">
        <v>32743152305</v>
      </c>
      <c r="E22" s="13" t="s">
        <v>49</v>
      </c>
      <c r="F22" s="23">
        <v>8538</v>
      </c>
      <c r="G22" s="24" t="s">
        <v>45</v>
      </c>
      <c r="H22" s="16"/>
      <c r="M22" s="19">
        <v>8435642490</v>
      </c>
    </row>
    <row r="23" spans="1:13" s="17" customFormat="1" ht="31.5" customHeight="1" x14ac:dyDescent="0.25">
      <c r="A23" s="9">
        <v>20</v>
      </c>
      <c r="B23" s="10" t="s">
        <v>9</v>
      </c>
      <c r="C23" s="11" t="s">
        <v>50</v>
      </c>
      <c r="D23" s="12">
        <v>884310110011592</v>
      </c>
      <c r="E23" s="13" t="s">
        <v>51</v>
      </c>
      <c r="F23" s="23">
        <v>10571</v>
      </c>
      <c r="G23" s="25" t="s">
        <v>52</v>
      </c>
      <c r="H23" s="16"/>
    </row>
    <row r="24" spans="1:13" s="17" customFormat="1" ht="31.5" customHeight="1" x14ac:dyDescent="0.25">
      <c r="A24" s="9">
        <v>21</v>
      </c>
      <c r="B24" s="10" t="s">
        <v>9</v>
      </c>
      <c r="C24" s="11" t="s">
        <v>53</v>
      </c>
      <c r="D24" s="12">
        <v>32537466906</v>
      </c>
      <c r="E24" s="13" t="s">
        <v>54</v>
      </c>
      <c r="F24" s="23">
        <v>10571</v>
      </c>
      <c r="G24" s="25" t="s">
        <v>52</v>
      </c>
      <c r="H24" s="16"/>
    </row>
    <row r="25" spans="1:13" s="17" customFormat="1" ht="31.5" customHeight="1" x14ac:dyDescent="0.25">
      <c r="A25" s="9">
        <v>22</v>
      </c>
      <c r="B25" s="10" t="s">
        <v>9</v>
      </c>
      <c r="C25" s="11" t="s">
        <v>55</v>
      </c>
      <c r="D25" s="12">
        <v>33544640028</v>
      </c>
      <c r="E25" s="13" t="s">
        <v>56</v>
      </c>
      <c r="F25" s="23">
        <v>10571</v>
      </c>
      <c r="G25" s="25" t="s">
        <v>52</v>
      </c>
      <c r="H25" s="16"/>
    </row>
    <row r="26" spans="1:13" s="17" customFormat="1" ht="31.5" customHeight="1" x14ac:dyDescent="0.25">
      <c r="A26" s="9">
        <v>23</v>
      </c>
      <c r="B26" s="10" t="s">
        <v>9</v>
      </c>
      <c r="C26" s="11" t="s">
        <v>55</v>
      </c>
      <c r="D26" s="12">
        <v>35121435946</v>
      </c>
      <c r="E26" s="13" t="s">
        <v>57</v>
      </c>
      <c r="F26" s="23">
        <v>6099</v>
      </c>
      <c r="G26" s="25" t="s">
        <v>52</v>
      </c>
      <c r="H26" s="16"/>
    </row>
    <row r="27" spans="1:13" s="17" customFormat="1" ht="31.5" customHeight="1" x14ac:dyDescent="0.25">
      <c r="A27" s="9">
        <v>24</v>
      </c>
      <c r="B27" s="10" t="s">
        <v>9</v>
      </c>
      <c r="C27" s="11" t="s">
        <v>58</v>
      </c>
      <c r="D27" s="12">
        <v>982218210009209</v>
      </c>
      <c r="E27" s="13" t="s">
        <v>59</v>
      </c>
      <c r="F27" s="23">
        <v>4879</v>
      </c>
      <c r="G27" s="26" t="s">
        <v>60</v>
      </c>
      <c r="H27" s="16"/>
    </row>
    <row r="28" spans="1:13" s="17" customFormat="1" ht="31.5" customHeight="1" x14ac:dyDescent="0.25">
      <c r="A28" s="9">
        <v>25</v>
      </c>
      <c r="B28" s="10" t="s">
        <v>9</v>
      </c>
      <c r="C28" s="11" t="s">
        <v>61</v>
      </c>
      <c r="D28" s="12">
        <v>3269524642</v>
      </c>
      <c r="E28" s="13" t="s">
        <v>62</v>
      </c>
      <c r="F28" s="23">
        <v>10978</v>
      </c>
      <c r="G28" s="26" t="s">
        <v>60</v>
      </c>
      <c r="H28" s="16"/>
    </row>
    <row r="29" spans="1:13" s="17" customFormat="1" ht="31.5" customHeight="1" x14ac:dyDescent="0.25">
      <c r="A29" s="9">
        <v>26</v>
      </c>
      <c r="B29" s="10" t="s">
        <v>9</v>
      </c>
      <c r="C29" s="11" t="s">
        <v>25</v>
      </c>
      <c r="D29" s="12">
        <v>39684205864</v>
      </c>
      <c r="E29" s="13" t="s">
        <v>63</v>
      </c>
      <c r="F29" s="23">
        <v>10978</v>
      </c>
      <c r="G29" s="26" t="s">
        <v>60</v>
      </c>
      <c r="H29" s="16"/>
    </row>
    <row r="30" spans="1:13" s="17" customFormat="1" ht="31.5" customHeight="1" x14ac:dyDescent="0.25">
      <c r="A30" s="9">
        <v>27</v>
      </c>
      <c r="B30" s="10" t="s">
        <v>9</v>
      </c>
      <c r="C30" s="11" t="s">
        <v>64</v>
      </c>
      <c r="D30" s="12">
        <v>11608075421</v>
      </c>
      <c r="E30" s="27" t="s">
        <v>65</v>
      </c>
      <c r="F30" s="23">
        <v>10165</v>
      </c>
      <c r="G30" s="28" t="s">
        <v>66</v>
      </c>
      <c r="H30" s="16"/>
    </row>
    <row r="31" spans="1:13" s="17" customFormat="1" ht="31.5" customHeight="1" x14ac:dyDescent="0.25">
      <c r="A31" s="9">
        <v>28</v>
      </c>
      <c r="B31" s="10" t="s">
        <v>9</v>
      </c>
      <c r="C31" s="11" t="s">
        <v>67</v>
      </c>
      <c r="D31" s="12">
        <v>20307224764</v>
      </c>
      <c r="E31" s="13" t="s">
        <v>68</v>
      </c>
      <c r="F31" s="23">
        <v>10571</v>
      </c>
      <c r="G31" s="28" t="s">
        <v>66</v>
      </c>
      <c r="H31" s="16"/>
    </row>
    <row r="32" spans="1:13" s="17" customFormat="1" ht="31.5" customHeight="1" x14ac:dyDescent="0.25">
      <c r="A32" s="9">
        <v>29</v>
      </c>
      <c r="B32" s="10" t="s">
        <v>9</v>
      </c>
      <c r="C32" s="11" t="s">
        <v>69</v>
      </c>
      <c r="D32" s="12">
        <v>35801339283</v>
      </c>
      <c r="E32" s="13" t="s">
        <v>70</v>
      </c>
      <c r="F32" s="23">
        <v>9758</v>
      </c>
      <c r="G32" s="28" t="s">
        <v>66</v>
      </c>
      <c r="H32" s="16"/>
    </row>
    <row r="33" spans="1:12" s="17" customFormat="1" ht="31.5" customHeight="1" x14ac:dyDescent="0.25">
      <c r="A33" s="9">
        <v>30</v>
      </c>
      <c r="B33" s="10" t="s">
        <v>9</v>
      </c>
      <c r="C33" s="11" t="s">
        <v>71</v>
      </c>
      <c r="D33" s="12">
        <v>3817181272</v>
      </c>
      <c r="E33" s="13" t="s">
        <v>72</v>
      </c>
      <c r="F33" s="23">
        <v>8945</v>
      </c>
      <c r="G33" s="28" t="s">
        <v>66</v>
      </c>
      <c r="H33" s="16"/>
    </row>
    <row r="34" spans="1:12" s="17" customFormat="1" ht="31.5" customHeight="1" x14ac:dyDescent="0.25">
      <c r="A34" s="9">
        <v>31</v>
      </c>
      <c r="B34" s="10" t="s">
        <v>9</v>
      </c>
      <c r="C34" s="11" t="s">
        <v>73</v>
      </c>
      <c r="D34" s="12">
        <v>32394446403</v>
      </c>
      <c r="E34" s="13" t="s">
        <v>74</v>
      </c>
      <c r="F34" s="23">
        <v>10571</v>
      </c>
      <c r="G34" s="29" t="s">
        <v>75</v>
      </c>
      <c r="H34" s="16"/>
    </row>
    <row r="35" spans="1:12" s="17" customFormat="1" ht="31.5" customHeight="1" x14ac:dyDescent="0.25">
      <c r="A35" s="9">
        <v>32</v>
      </c>
      <c r="B35" s="10" t="s">
        <v>9</v>
      </c>
      <c r="C35" s="11" t="s">
        <v>76</v>
      </c>
      <c r="D35" s="12">
        <v>20263468719</v>
      </c>
      <c r="E35" s="13" t="s">
        <v>77</v>
      </c>
      <c r="F35" s="23">
        <v>10978</v>
      </c>
      <c r="G35" s="29" t="s">
        <v>75</v>
      </c>
      <c r="H35" s="16"/>
    </row>
    <row r="36" spans="1:12" s="17" customFormat="1" ht="31.5" customHeight="1" x14ac:dyDescent="0.25">
      <c r="A36" s="9">
        <v>33</v>
      </c>
      <c r="B36" s="10" t="s">
        <v>9</v>
      </c>
      <c r="C36" s="11" t="s">
        <v>78</v>
      </c>
      <c r="D36" s="12">
        <v>38942944221</v>
      </c>
      <c r="E36" s="13" t="s">
        <v>79</v>
      </c>
      <c r="F36" s="23">
        <v>6912</v>
      </c>
      <c r="G36" s="29" t="s">
        <v>75</v>
      </c>
      <c r="H36" s="16"/>
    </row>
    <row r="37" spans="1:12" s="17" customFormat="1" ht="31.5" customHeight="1" x14ac:dyDescent="0.25">
      <c r="A37" s="9">
        <v>34</v>
      </c>
      <c r="B37" s="10" t="s">
        <v>9</v>
      </c>
      <c r="C37" s="11" t="s">
        <v>78</v>
      </c>
      <c r="D37" s="12">
        <v>34994308691</v>
      </c>
      <c r="E37" s="13" t="s">
        <v>80</v>
      </c>
      <c r="F37" s="23">
        <v>10571</v>
      </c>
      <c r="G37" s="29" t="s">
        <v>75</v>
      </c>
      <c r="H37" s="16"/>
    </row>
    <row r="38" spans="1:12" s="17" customFormat="1" ht="31.5" customHeight="1" x14ac:dyDescent="0.25">
      <c r="A38" s="9">
        <v>35</v>
      </c>
      <c r="B38" s="10" t="s">
        <v>9</v>
      </c>
      <c r="C38" s="11" t="s">
        <v>81</v>
      </c>
      <c r="D38" s="12">
        <v>914010110008302</v>
      </c>
      <c r="E38" s="13" t="s">
        <v>82</v>
      </c>
      <c r="F38" s="23">
        <v>10978</v>
      </c>
      <c r="G38" s="30" t="s">
        <v>83</v>
      </c>
      <c r="H38" s="16"/>
    </row>
    <row r="39" spans="1:12" s="17" customFormat="1" ht="31.5" customHeight="1" x14ac:dyDescent="0.25">
      <c r="A39" s="9">
        <v>36</v>
      </c>
      <c r="B39" s="10" t="s">
        <v>9</v>
      </c>
      <c r="C39" s="11" t="s">
        <v>84</v>
      </c>
      <c r="D39" s="12">
        <v>37802489869</v>
      </c>
      <c r="E39" s="13" t="s">
        <v>85</v>
      </c>
      <c r="F39" s="23">
        <v>10571</v>
      </c>
      <c r="G39" s="30" t="s">
        <v>83</v>
      </c>
      <c r="H39" s="16"/>
    </row>
    <row r="40" spans="1:12" s="17" customFormat="1" ht="31.5" customHeight="1" x14ac:dyDescent="0.25">
      <c r="A40" s="9">
        <v>37</v>
      </c>
      <c r="B40" s="10" t="s">
        <v>9</v>
      </c>
      <c r="C40" s="11" t="s">
        <v>86</v>
      </c>
      <c r="D40" s="12">
        <v>3147544181</v>
      </c>
      <c r="E40" s="13" t="s">
        <v>87</v>
      </c>
      <c r="F40" s="23">
        <v>10978</v>
      </c>
      <c r="G40" s="30" t="s">
        <v>83</v>
      </c>
      <c r="H40" s="16"/>
    </row>
    <row r="41" spans="1:12" s="17" customFormat="1" ht="31.5" customHeight="1" x14ac:dyDescent="0.25">
      <c r="A41" s="9">
        <v>38</v>
      </c>
      <c r="B41" s="10" t="s">
        <v>9</v>
      </c>
      <c r="C41" s="11" t="s">
        <v>86</v>
      </c>
      <c r="D41" s="12">
        <v>3688937471</v>
      </c>
      <c r="E41" s="13" t="s">
        <v>88</v>
      </c>
      <c r="F41" s="23">
        <v>10571</v>
      </c>
      <c r="G41" s="30" t="s">
        <v>83</v>
      </c>
      <c r="H41" s="16"/>
    </row>
    <row r="42" spans="1:12" s="17" customFormat="1" ht="31.5" customHeight="1" x14ac:dyDescent="0.25">
      <c r="A42" s="9">
        <v>39</v>
      </c>
      <c r="B42" s="10" t="s">
        <v>9</v>
      </c>
      <c r="C42" s="11" t="s">
        <v>81</v>
      </c>
      <c r="D42" s="12">
        <v>914018210010237</v>
      </c>
      <c r="E42" s="13" t="s">
        <v>89</v>
      </c>
      <c r="F42" s="23">
        <v>10978</v>
      </c>
      <c r="G42" s="30" t="s">
        <v>83</v>
      </c>
      <c r="H42" s="16"/>
    </row>
    <row r="43" spans="1:12" s="17" customFormat="1" ht="31.5" customHeight="1" x14ac:dyDescent="0.25">
      <c r="A43" s="9">
        <v>40</v>
      </c>
      <c r="B43" s="10" t="s">
        <v>9</v>
      </c>
      <c r="C43" s="11" t="s">
        <v>86</v>
      </c>
      <c r="D43" s="12">
        <v>3691974361</v>
      </c>
      <c r="E43" s="13" t="s">
        <v>90</v>
      </c>
      <c r="F43" s="23">
        <v>10571</v>
      </c>
      <c r="G43" s="30" t="s">
        <v>83</v>
      </c>
      <c r="H43" s="16"/>
      <c r="L43" s="17">
        <v>3659</v>
      </c>
    </row>
    <row r="44" spans="1:12" s="17" customFormat="1" ht="31.5" customHeight="1" x14ac:dyDescent="0.25">
      <c r="A44" s="9">
        <v>41</v>
      </c>
      <c r="B44" s="10" t="s">
        <v>9</v>
      </c>
      <c r="C44" s="11" t="s">
        <v>86</v>
      </c>
      <c r="D44" s="12">
        <v>3938324316</v>
      </c>
      <c r="E44" s="13" t="s">
        <v>91</v>
      </c>
      <c r="F44" s="23">
        <v>10978</v>
      </c>
      <c r="G44" s="30" t="s">
        <v>83</v>
      </c>
      <c r="H44" s="16"/>
    </row>
    <row r="45" spans="1:12" s="17" customFormat="1" ht="31.5" customHeight="1" x14ac:dyDescent="0.25">
      <c r="A45" s="9">
        <v>42</v>
      </c>
      <c r="B45" s="10" t="s">
        <v>9</v>
      </c>
      <c r="C45" s="11" t="s">
        <v>81</v>
      </c>
      <c r="D45" s="12">
        <v>914018210009855</v>
      </c>
      <c r="E45" s="13" t="s">
        <v>92</v>
      </c>
      <c r="F45" s="23">
        <v>10571</v>
      </c>
      <c r="G45" s="31" t="s">
        <v>93</v>
      </c>
    </row>
    <row r="46" spans="1:12" s="17" customFormat="1" ht="31.5" customHeight="1" x14ac:dyDescent="0.25">
      <c r="A46" s="9">
        <v>43</v>
      </c>
      <c r="B46" s="10" t="s">
        <v>9</v>
      </c>
      <c r="C46" s="11" t="s">
        <v>86</v>
      </c>
      <c r="D46" s="12">
        <v>3197925032</v>
      </c>
      <c r="E46" s="13" t="s">
        <v>94</v>
      </c>
      <c r="F46" s="23">
        <v>10978</v>
      </c>
      <c r="G46" s="31" t="s">
        <v>93</v>
      </c>
      <c r="H46" s="16"/>
    </row>
    <row r="47" spans="1:12" s="17" customFormat="1" ht="31.5" customHeight="1" x14ac:dyDescent="0.25">
      <c r="A47" s="9">
        <v>44</v>
      </c>
      <c r="B47" s="10" t="s">
        <v>9</v>
      </c>
      <c r="C47" s="11" t="s">
        <v>86</v>
      </c>
      <c r="D47" s="12">
        <v>3147952407</v>
      </c>
      <c r="E47" s="13" t="s">
        <v>95</v>
      </c>
      <c r="F47" s="23">
        <v>10571</v>
      </c>
      <c r="G47" s="31" t="s">
        <v>93</v>
      </c>
      <c r="H47" s="16"/>
    </row>
    <row r="48" spans="1:12" s="17" customFormat="1" ht="31.5" customHeight="1" x14ac:dyDescent="0.25">
      <c r="A48" s="9">
        <v>45</v>
      </c>
      <c r="B48" s="10" t="s">
        <v>9</v>
      </c>
      <c r="C48" s="11" t="s">
        <v>84</v>
      </c>
      <c r="D48" s="12">
        <v>36684551612</v>
      </c>
      <c r="E48" s="13" t="s">
        <v>96</v>
      </c>
      <c r="F48" s="23">
        <v>10978</v>
      </c>
      <c r="G48" s="31" t="s">
        <v>93</v>
      </c>
      <c r="H48" s="16"/>
    </row>
    <row r="49" spans="1:13" s="17" customFormat="1" ht="31.5" customHeight="1" x14ac:dyDescent="0.25">
      <c r="A49" s="9">
        <v>46</v>
      </c>
      <c r="B49" s="10" t="s">
        <v>9</v>
      </c>
      <c r="C49" s="11" t="s">
        <v>86</v>
      </c>
      <c r="D49" s="12">
        <v>3938324496</v>
      </c>
      <c r="E49" s="13" t="s">
        <v>97</v>
      </c>
      <c r="F49" s="23">
        <v>10978</v>
      </c>
      <c r="G49" s="31" t="s">
        <v>93</v>
      </c>
      <c r="H49" s="16"/>
    </row>
    <row r="50" spans="1:13" s="17" customFormat="1" ht="31.5" customHeight="1" x14ac:dyDescent="0.25">
      <c r="A50" s="9">
        <v>47</v>
      </c>
      <c r="B50" s="10" t="s">
        <v>9</v>
      </c>
      <c r="C50" s="11" t="s">
        <v>84</v>
      </c>
      <c r="D50" s="12">
        <v>20380474557</v>
      </c>
      <c r="E50" s="13" t="s">
        <v>98</v>
      </c>
      <c r="F50" s="23">
        <v>10978</v>
      </c>
      <c r="G50" s="31" t="s">
        <v>93</v>
      </c>
      <c r="H50" s="16"/>
    </row>
    <row r="51" spans="1:13" s="17" customFormat="1" ht="31.5" customHeight="1" x14ac:dyDescent="0.25">
      <c r="A51" s="9">
        <v>48</v>
      </c>
      <c r="B51" s="10" t="s">
        <v>9</v>
      </c>
      <c r="C51" s="11" t="s">
        <v>81</v>
      </c>
      <c r="D51" s="12">
        <v>914010310000044</v>
      </c>
      <c r="E51" s="13" t="s">
        <v>99</v>
      </c>
      <c r="F51" s="23">
        <f>3659+3659</f>
        <v>7318</v>
      </c>
      <c r="G51" s="31" t="s">
        <v>93</v>
      </c>
      <c r="H51" s="16"/>
      <c r="M51" s="19">
        <v>7415639968</v>
      </c>
    </row>
    <row r="52" spans="1:13" s="17" customFormat="1" ht="31.5" customHeight="1" x14ac:dyDescent="0.25">
      <c r="A52" s="9">
        <v>49</v>
      </c>
      <c r="B52" s="10" t="s">
        <v>9</v>
      </c>
      <c r="C52" s="11" t="s">
        <v>100</v>
      </c>
      <c r="D52" s="32" t="s">
        <v>101</v>
      </c>
      <c r="E52" s="13" t="s">
        <v>102</v>
      </c>
      <c r="F52" s="23">
        <v>10571</v>
      </c>
      <c r="G52" s="31" t="s">
        <v>93</v>
      </c>
      <c r="H52" s="16"/>
    </row>
    <row r="53" spans="1:13" s="17" customFormat="1" ht="31.5" customHeight="1" x14ac:dyDescent="0.25">
      <c r="A53" s="9">
        <v>50</v>
      </c>
      <c r="B53" s="10" t="s">
        <v>9</v>
      </c>
      <c r="C53" s="11" t="s">
        <v>100</v>
      </c>
      <c r="D53" s="20" t="s">
        <v>103</v>
      </c>
      <c r="E53" s="13" t="s">
        <v>104</v>
      </c>
      <c r="F53" s="23">
        <v>6912</v>
      </c>
      <c r="G53" s="33" t="s">
        <v>105</v>
      </c>
      <c r="H53" s="16"/>
    </row>
    <row r="54" spans="1:13" s="17" customFormat="1" ht="31.5" customHeight="1" x14ac:dyDescent="0.25">
      <c r="A54" s="9">
        <v>51</v>
      </c>
      <c r="B54" s="10" t="s">
        <v>9</v>
      </c>
      <c r="C54" s="11" t="s">
        <v>84</v>
      </c>
      <c r="D54" s="12">
        <v>20305517741</v>
      </c>
      <c r="E54" s="13" t="s">
        <v>106</v>
      </c>
      <c r="F54" s="23">
        <v>10571</v>
      </c>
      <c r="G54" s="33" t="s">
        <v>105</v>
      </c>
      <c r="H54" s="16"/>
    </row>
    <row r="55" spans="1:13" s="17" customFormat="1" ht="31.5" customHeight="1" x14ac:dyDescent="0.25">
      <c r="A55" s="9">
        <v>52</v>
      </c>
      <c r="B55" s="10" t="s">
        <v>9</v>
      </c>
      <c r="C55" s="11" t="s">
        <v>84</v>
      </c>
      <c r="D55" s="12">
        <v>38631640975</v>
      </c>
      <c r="E55" s="13" t="s">
        <v>107</v>
      </c>
      <c r="F55" s="23">
        <v>10978</v>
      </c>
      <c r="G55" s="33" t="s">
        <v>105</v>
      </c>
      <c r="H55" s="16"/>
    </row>
    <row r="56" spans="1:13" s="17" customFormat="1" ht="31.5" customHeight="1" x14ac:dyDescent="0.25">
      <c r="A56" s="9">
        <v>53</v>
      </c>
      <c r="B56" s="10" t="s">
        <v>9</v>
      </c>
      <c r="C56" s="11" t="s">
        <v>84</v>
      </c>
      <c r="D56" s="12">
        <v>20241868950</v>
      </c>
      <c r="E56" s="13" t="s">
        <v>108</v>
      </c>
      <c r="F56" s="23">
        <v>10978</v>
      </c>
      <c r="G56" s="33" t="s">
        <v>105</v>
      </c>
      <c r="H56" s="16"/>
    </row>
    <row r="57" spans="1:13" s="17" customFormat="1" ht="31.5" customHeight="1" x14ac:dyDescent="0.25">
      <c r="A57" s="9">
        <v>54</v>
      </c>
      <c r="B57" s="10" t="s">
        <v>9</v>
      </c>
      <c r="C57" s="11" t="s">
        <v>86</v>
      </c>
      <c r="D57" s="12">
        <v>3929940904</v>
      </c>
      <c r="E57" s="13" t="s">
        <v>109</v>
      </c>
      <c r="F57" s="23">
        <v>7725</v>
      </c>
      <c r="G57" s="34" t="s">
        <v>110</v>
      </c>
      <c r="H57" s="16"/>
    </row>
    <row r="58" spans="1:13" s="17" customFormat="1" ht="31.5" customHeight="1" x14ac:dyDescent="0.25">
      <c r="A58" s="9">
        <v>55</v>
      </c>
      <c r="B58" s="10" t="s">
        <v>9</v>
      </c>
      <c r="C58" s="11" t="s">
        <v>86</v>
      </c>
      <c r="D58" s="12">
        <v>4056205551</v>
      </c>
      <c r="E58" s="13" t="s">
        <v>111</v>
      </c>
      <c r="F58" s="23">
        <v>10571</v>
      </c>
      <c r="G58" s="34" t="s">
        <v>110</v>
      </c>
      <c r="H58" s="16"/>
    </row>
    <row r="59" spans="1:13" s="17" customFormat="1" ht="31.5" customHeight="1" x14ac:dyDescent="0.25">
      <c r="A59" s="9">
        <v>56</v>
      </c>
      <c r="B59" s="10" t="s">
        <v>9</v>
      </c>
      <c r="C59" s="11" t="s">
        <v>86</v>
      </c>
      <c r="D59" s="12">
        <v>3302157302</v>
      </c>
      <c r="E59" s="13" t="s">
        <v>112</v>
      </c>
      <c r="F59" s="23">
        <v>10571</v>
      </c>
      <c r="G59" s="34" t="s">
        <v>110</v>
      </c>
      <c r="H59" s="16"/>
    </row>
    <row r="60" spans="1:13" s="17" customFormat="1" ht="31.5" customHeight="1" x14ac:dyDescent="0.25">
      <c r="A60" s="9">
        <v>57</v>
      </c>
      <c r="B60" s="10" t="s">
        <v>9</v>
      </c>
      <c r="C60" s="11" t="s">
        <v>86</v>
      </c>
      <c r="D60" s="12">
        <v>3926878369</v>
      </c>
      <c r="E60" s="13" t="s">
        <v>113</v>
      </c>
      <c r="F60" s="23">
        <v>9758</v>
      </c>
      <c r="G60" s="34" t="s">
        <v>110</v>
      </c>
      <c r="H60" s="16"/>
    </row>
    <row r="61" spans="1:13" s="17" customFormat="1" ht="31.5" customHeight="1" x14ac:dyDescent="0.25">
      <c r="A61" s="9">
        <v>58</v>
      </c>
      <c r="B61" s="10" t="s">
        <v>9</v>
      </c>
      <c r="C61" s="11" t="s">
        <v>114</v>
      </c>
      <c r="D61" s="12">
        <v>32837271881</v>
      </c>
      <c r="E61" s="13" t="s">
        <v>115</v>
      </c>
      <c r="F61" s="23">
        <v>10978</v>
      </c>
      <c r="G61" s="35" t="s">
        <v>116</v>
      </c>
      <c r="H61" s="16"/>
    </row>
    <row r="62" spans="1:13" s="17" customFormat="1" ht="31.5" customHeight="1" x14ac:dyDescent="0.25">
      <c r="A62" s="9">
        <v>59</v>
      </c>
      <c r="B62" s="10" t="s">
        <v>9</v>
      </c>
      <c r="C62" s="11" t="s">
        <v>100</v>
      </c>
      <c r="D62" s="12">
        <v>1962232426213840</v>
      </c>
      <c r="E62" s="13" t="s">
        <v>117</v>
      </c>
      <c r="F62" s="23">
        <v>10978</v>
      </c>
      <c r="G62" s="35" t="s">
        <v>116</v>
      </c>
      <c r="H62" s="16"/>
    </row>
    <row r="63" spans="1:13" s="17" customFormat="1" ht="31.5" customHeight="1" x14ac:dyDescent="0.25">
      <c r="A63" s="9">
        <v>60</v>
      </c>
      <c r="B63" s="10" t="s">
        <v>9</v>
      </c>
      <c r="C63" s="11" t="s">
        <v>118</v>
      </c>
      <c r="D63" s="12">
        <v>37260416893</v>
      </c>
      <c r="E63" s="13" t="s">
        <v>119</v>
      </c>
      <c r="F63" s="23">
        <v>10978</v>
      </c>
      <c r="G63" s="35" t="s">
        <v>116</v>
      </c>
      <c r="H63" s="16"/>
    </row>
    <row r="64" spans="1:13" s="17" customFormat="1" ht="31.5" customHeight="1" x14ac:dyDescent="0.25">
      <c r="A64" s="9">
        <v>61</v>
      </c>
      <c r="B64" s="10" t="s">
        <v>9</v>
      </c>
      <c r="C64" s="11" t="s">
        <v>114</v>
      </c>
      <c r="D64" s="12">
        <v>37096724789</v>
      </c>
      <c r="E64" s="13" t="s">
        <v>120</v>
      </c>
      <c r="F64" s="23">
        <v>10978</v>
      </c>
      <c r="G64" s="35" t="s">
        <v>116</v>
      </c>
      <c r="H64" s="16"/>
    </row>
    <row r="65" spans="1:8" s="17" customFormat="1" ht="35.25" customHeight="1" x14ac:dyDescent="0.25">
      <c r="A65" s="9">
        <v>62</v>
      </c>
      <c r="B65" s="10" t="s">
        <v>9</v>
      </c>
      <c r="C65" s="11" t="s">
        <v>114</v>
      </c>
      <c r="D65" s="12">
        <v>31906162088</v>
      </c>
      <c r="E65" s="13" t="s">
        <v>121</v>
      </c>
      <c r="F65" s="23">
        <v>10571</v>
      </c>
      <c r="G65" s="35" t="s">
        <v>116</v>
      </c>
      <c r="H65" s="16"/>
    </row>
    <row r="66" spans="1:8" s="17" customFormat="1" ht="31.5" customHeight="1" x14ac:dyDescent="0.25">
      <c r="A66" s="9">
        <v>63</v>
      </c>
      <c r="B66" s="10" t="s">
        <v>9</v>
      </c>
      <c r="C66" s="11" t="s">
        <v>114</v>
      </c>
      <c r="D66" s="12">
        <v>31900521929</v>
      </c>
      <c r="E66" s="13" t="s">
        <v>122</v>
      </c>
      <c r="F66" s="23">
        <v>10571</v>
      </c>
      <c r="G66" s="35" t="s">
        <v>116</v>
      </c>
      <c r="H66" s="16"/>
    </row>
    <row r="67" spans="1:8" s="17" customFormat="1" ht="31.5" customHeight="1" x14ac:dyDescent="0.25">
      <c r="A67" s="9">
        <v>64</v>
      </c>
      <c r="B67" s="10" t="s">
        <v>9</v>
      </c>
      <c r="C67" s="11" t="s">
        <v>123</v>
      </c>
      <c r="D67" s="12">
        <v>3921288808</v>
      </c>
      <c r="E67" s="13" t="s">
        <v>124</v>
      </c>
      <c r="F67" s="23">
        <v>10571</v>
      </c>
      <c r="G67" s="35" t="s">
        <v>116</v>
      </c>
      <c r="H67" s="16"/>
    </row>
    <row r="68" spans="1:8" s="17" customFormat="1" ht="31.5" customHeight="1" x14ac:dyDescent="0.25">
      <c r="A68" s="9">
        <v>65</v>
      </c>
      <c r="B68" s="10" t="s">
        <v>9</v>
      </c>
      <c r="C68" s="11" t="s">
        <v>125</v>
      </c>
      <c r="D68" s="12">
        <v>3347019234</v>
      </c>
      <c r="E68" s="13" t="s">
        <v>126</v>
      </c>
      <c r="F68" s="23">
        <v>10571</v>
      </c>
      <c r="G68" s="36" t="s">
        <v>127</v>
      </c>
      <c r="H68" s="16"/>
    </row>
    <row r="69" spans="1:8" s="17" customFormat="1" ht="31.5" customHeight="1" x14ac:dyDescent="0.25">
      <c r="A69" s="9">
        <v>66</v>
      </c>
      <c r="B69" s="10" t="s">
        <v>9</v>
      </c>
      <c r="C69" s="11" t="s">
        <v>125</v>
      </c>
      <c r="D69" s="12">
        <v>3478554704</v>
      </c>
      <c r="E69" s="13" t="s">
        <v>128</v>
      </c>
      <c r="F69" s="23">
        <v>10571</v>
      </c>
      <c r="G69" s="36" t="s">
        <v>127</v>
      </c>
      <c r="H69" s="16"/>
    </row>
    <row r="70" spans="1:8" s="17" customFormat="1" ht="31.5" customHeight="1" x14ac:dyDescent="0.25">
      <c r="A70" s="9">
        <v>67</v>
      </c>
      <c r="B70" s="10" t="s">
        <v>9</v>
      </c>
      <c r="C70" s="11" t="s">
        <v>125</v>
      </c>
      <c r="D70" s="12">
        <v>5787327752</v>
      </c>
      <c r="E70" s="13" t="s">
        <v>129</v>
      </c>
      <c r="F70" s="23">
        <v>7319</v>
      </c>
      <c r="G70" s="36" t="s">
        <v>127</v>
      </c>
      <c r="H70" s="16"/>
    </row>
    <row r="71" spans="1:8" s="17" customFormat="1" ht="31.5" customHeight="1" x14ac:dyDescent="0.25">
      <c r="A71" s="9">
        <v>68</v>
      </c>
      <c r="B71" s="10" t="s">
        <v>9</v>
      </c>
      <c r="C71" s="11" t="s">
        <v>118</v>
      </c>
      <c r="D71" s="12">
        <v>41564662275</v>
      </c>
      <c r="E71" s="13" t="s">
        <v>130</v>
      </c>
      <c r="F71" s="23">
        <v>10571</v>
      </c>
      <c r="G71" s="36" t="s">
        <v>127</v>
      </c>
      <c r="H71" s="16"/>
    </row>
    <row r="72" spans="1:8" s="17" customFormat="1" ht="31.5" customHeight="1" x14ac:dyDescent="0.25">
      <c r="A72" s="9">
        <v>69</v>
      </c>
      <c r="B72" s="10" t="s">
        <v>9</v>
      </c>
      <c r="C72" s="11" t="s">
        <v>131</v>
      </c>
      <c r="D72" s="12">
        <v>33706509727</v>
      </c>
      <c r="E72" s="13" t="s">
        <v>132</v>
      </c>
      <c r="F72" s="23">
        <v>10978</v>
      </c>
      <c r="G72" s="37" t="s">
        <v>133</v>
      </c>
      <c r="H72" s="16"/>
    </row>
    <row r="73" spans="1:8" s="17" customFormat="1" ht="31.5" customHeight="1" x14ac:dyDescent="0.25">
      <c r="A73" s="9">
        <v>70</v>
      </c>
      <c r="B73" s="10" t="s">
        <v>9</v>
      </c>
      <c r="C73" s="11" t="s">
        <v>131</v>
      </c>
      <c r="D73" s="12">
        <v>33217769919</v>
      </c>
      <c r="E73" s="13" t="s">
        <v>134</v>
      </c>
      <c r="F73" s="23">
        <v>10571</v>
      </c>
      <c r="G73" s="37" t="s">
        <v>133</v>
      </c>
      <c r="H73" s="16"/>
    </row>
    <row r="74" spans="1:8" s="17" customFormat="1" ht="31.5" customHeight="1" x14ac:dyDescent="0.25">
      <c r="A74" s="9">
        <v>71</v>
      </c>
      <c r="B74" s="10" t="s">
        <v>9</v>
      </c>
      <c r="C74" s="11" t="s">
        <v>131</v>
      </c>
      <c r="D74" s="12">
        <v>31989231397</v>
      </c>
      <c r="E74" s="13" t="s">
        <v>135</v>
      </c>
      <c r="F74" s="23">
        <v>10571</v>
      </c>
      <c r="G74" s="37" t="s">
        <v>133</v>
      </c>
      <c r="H74" s="16"/>
    </row>
    <row r="75" spans="1:8" s="17" customFormat="1" ht="31.5" customHeight="1" x14ac:dyDescent="0.25">
      <c r="A75" s="9">
        <v>72</v>
      </c>
      <c r="B75" s="10" t="s">
        <v>9</v>
      </c>
      <c r="C75" s="11" t="s">
        <v>136</v>
      </c>
      <c r="D75" s="12">
        <v>50200013865627</v>
      </c>
      <c r="E75" s="13" t="s">
        <v>137</v>
      </c>
      <c r="F75" s="23">
        <v>10978</v>
      </c>
      <c r="G75" s="37" t="s">
        <v>133</v>
      </c>
      <c r="H75" s="16"/>
    </row>
    <row r="76" spans="1:8" s="39" customFormat="1" ht="31.5" customHeight="1" x14ac:dyDescent="0.25">
      <c r="A76" s="9">
        <v>73</v>
      </c>
      <c r="B76" s="10" t="s">
        <v>9</v>
      </c>
      <c r="C76" s="11" t="s">
        <v>131</v>
      </c>
      <c r="D76" s="38">
        <v>35359849004</v>
      </c>
      <c r="E76" s="13" t="s">
        <v>138</v>
      </c>
      <c r="F76" s="23">
        <v>10978</v>
      </c>
      <c r="G76" s="37" t="s">
        <v>133</v>
      </c>
    </row>
    <row r="77" spans="1:8" s="39" customFormat="1" ht="31.5" customHeight="1" x14ac:dyDescent="0.25">
      <c r="A77" s="9">
        <v>74</v>
      </c>
      <c r="B77" s="10" t="s">
        <v>9</v>
      </c>
      <c r="C77" s="11" t="s">
        <v>139</v>
      </c>
      <c r="D77" s="12">
        <v>3841307490</v>
      </c>
      <c r="E77" s="13" t="s">
        <v>140</v>
      </c>
      <c r="F77" s="23">
        <v>10978</v>
      </c>
      <c r="G77" s="37" t="s">
        <v>133</v>
      </c>
      <c r="H77" s="40"/>
    </row>
    <row r="78" spans="1:8" s="39" customFormat="1" ht="31.5" customHeight="1" x14ac:dyDescent="0.25">
      <c r="A78" s="9">
        <v>75</v>
      </c>
      <c r="B78" s="10" t="s">
        <v>9</v>
      </c>
      <c r="C78" s="11" t="s">
        <v>131</v>
      </c>
      <c r="D78" s="12" t="s">
        <v>141</v>
      </c>
      <c r="E78" s="13" t="s">
        <v>142</v>
      </c>
      <c r="F78" s="23">
        <v>10571</v>
      </c>
      <c r="G78" s="37" t="s">
        <v>133</v>
      </c>
    </row>
    <row r="79" spans="1:8" s="39" customFormat="1" ht="31.5" customHeight="1" x14ac:dyDescent="0.25">
      <c r="A79" s="9">
        <v>76</v>
      </c>
      <c r="B79" s="10" t="s">
        <v>9</v>
      </c>
      <c r="C79" s="11" t="s">
        <v>78</v>
      </c>
      <c r="D79" s="12" t="s">
        <v>143</v>
      </c>
      <c r="E79" s="13" t="s">
        <v>144</v>
      </c>
      <c r="F79" s="23">
        <v>8945</v>
      </c>
      <c r="G79" s="41" t="s">
        <v>145</v>
      </c>
    </row>
    <row r="80" spans="1:8" s="39" customFormat="1" ht="31.5" customHeight="1" x14ac:dyDescent="0.25">
      <c r="A80" s="9">
        <v>77</v>
      </c>
      <c r="B80" s="10" t="s">
        <v>9</v>
      </c>
      <c r="C80" s="11" t="s">
        <v>76</v>
      </c>
      <c r="D80" s="12">
        <v>32303396615</v>
      </c>
      <c r="E80" s="13" t="s">
        <v>146</v>
      </c>
      <c r="F80" s="23">
        <v>10571</v>
      </c>
      <c r="G80" s="41" t="s">
        <v>145</v>
      </c>
    </row>
    <row r="81" spans="1:7" s="39" customFormat="1" ht="31.5" customHeight="1" x14ac:dyDescent="0.25">
      <c r="A81" s="9">
        <v>78</v>
      </c>
      <c r="B81" s="10" t="s">
        <v>9</v>
      </c>
      <c r="C81" s="11" t="s">
        <v>147</v>
      </c>
      <c r="D81" s="12" t="s">
        <v>148</v>
      </c>
      <c r="E81" s="13" t="s">
        <v>149</v>
      </c>
      <c r="F81" s="23">
        <v>9351</v>
      </c>
      <c r="G81" s="41" t="s">
        <v>145</v>
      </c>
    </row>
    <row r="82" spans="1:7" s="39" customFormat="1" ht="31.5" customHeight="1" x14ac:dyDescent="0.25">
      <c r="A82" s="9">
        <v>79</v>
      </c>
      <c r="B82" s="10" t="s">
        <v>9</v>
      </c>
      <c r="C82" s="11" t="s">
        <v>78</v>
      </c>
      <c r="D82" s="12">
        <v>32456707739</v>
      </c>
      <c r="E82" s="13" t="s">
        <v>150</v>
      </c>
      <c r="F82" s="23">
        <v>10571</v>
      </c>
      <c r="G82" s="41" t="s">
        <v>145</v>
      </c>
    </row>
    <row r="83" spans="1:7" s="39" customFormat="1" ht="31.5" customHeight="1" x14ac:dyDescent="0.25">
      <c r="A83" s="9">
        <v>80</v>
      </c>
      <c r="B83" s="10" t="s">
        <v>9</v>
      </c>
      <c r="C83" s="11" t="s">
        <v>151</v>
      </c>
      <c r="D83" s="12">
        <v>913318210001990</v>
      </c>
      <c r="E83" s="13" t="s">
        <v>152</v>
      </c>
      <c r="F83" s="23">
        <v>8538</v>
      </c>
      <c r="G83" s="41" t="s">
        <v>145</v>
      </c>
    </row>
    <row r="84" spans="1:7" s="39" customFormat="1" ht="31.5" customHeight="1" x14ac:dyDescent="0.25">
      <c r="A84" s="9">
        <v>81</v>
      </c>
      <c r="B84" s="10" t="s">
        <v>9</v>
      </c>
      <c r="C84" s="11" t="s">
        <v>151</v>
      </c>
      <c r="D84" s="12" t="s">
        <v>153</v>
      </c>
      <c r="E84" s="13" t="s">
        <v>154</v>
      </c>
      <c r="F84" s="23">
        <v>10571</v>
      </c>
      <c r="G84" s="41" t="s">
        <v>145</v>
      </c>
    </row>
    <row r="85" spans="1:7" s="39" customFormat="1" ht="31.5" customHeight="1" x14ac:dyDescent="0.25">
      <c r="A85" s="9">
        <v>82</v>
      </c>
      <c r="B85" s="10" t="s">
        <v>9</v>
      </c>
      <c r="C85" s="11" t="s">
        <v>78</v>
      </c>
      <c r="D85" s="12">
        <v>33289538749</v>
      </c>
      <c r="E85" s="13" t="s">
        <v>155</v>
      </c>
      <c r="F85" s="23">
        <v>10978</v>
      </c>
      <c r="G85" s="41" t="s">
        <v>145</v>
      </c>
    </row>
    <row r="86" spans="1:7" s="39" customFormat="1" ht="31.5" customHeight="1" x14ac:dyDescent="0.25">
      <c r="A86" s="9">
        <v>83</v>
      </c>
      <c r="B86" s="10" t="s">
        <v>9</v>
      </c>
      <c r="C86" s="11" t="s">
        <v>78</v>
      </c>
      <c r="D86" s="12">
        <v>40388020028</v>
      </c>
      <c r="E86" s="13" t="s">
        <v>156</v>
      </c>
      <c r="F86" s="23">
        <v>10978</v>
      </c>
      <c r="G86" s="41" t="s">
        <v>145</v>
      </c>
    </row>
    <row r="87" spans="1:7" s="39" customFormat="1" ht="31.5" customHeight="1" thickBot="1" x14ac:dyDescent="0.3">
      <c r="A87" s="9">
        <v>84</v>
      </c>
      <c r="B87" s="10" t="s">
        <v>9</v>
      </c>
      <c r="C87" s="11" t="s">
        <v>78</v>
      </c>
      <c r="D87" s="12" t="s">
        <v>157</v>
      </c>
      <c r="E87" s="13" t="s">
        <v>158</v>
      </c>
      <c r="F87" s="23">
        <v>10978</v>
      </c>
      <c r="G87" s="41" t="s">
        <v>145</v>
      </c>
    </row>
    <row r="88" spans="1:7" s="39" customFormat="1" ht="24.95" customHeight="1" thickBot="1" x14ac:dyDescent="0.3">
      <c r="A88" s="42"/>
      <c r="B88" s="43" t="s">
        <v>159</v>
      </c>
      <c r="C88" s="44"/>
      <c r="D88" s="44"/>
      <c r="E88" s="45"/>
      <c r="F88" s="46">
        <f>SUM(F4:F87)</f>
        <v>850575</v>
      </c>
      <c r="G88" s="17"/>
    </row>
    <row r="89" spans="1:7" s="39" customFormat="1" ht="24.95" customHeight="1" thickBot="1" x14ac:dyDescent="0.3">
      <c r="A89" s="47"/>
      <c r="B89" s="48"/>
      <c r="C89" s="49"/>
      <c r="D89" s="50"/>
      <c r="F89" s="40"/>
    </row>
    <row r="90" spans="1:7" s="39" customFormat="1" ht="24.95" customHeight="1" thickBot="1" x14ac:dyDescent="0.3">
      <c r="A90" s="51"/>
      <c r="B90" s="48"/>
      <c r="C90" s="49"/>
      <c r="D90" s="50"/>
      <c r="E90" s="52" t="s">
        <v>160</v>
      </c>
      <c r="F90" s="53">
        <f>F88</f>
        <v>850575</v>
      </c>
      <c r="G90" s="40"/>
    </row>
    <row r="91" spans="1:7" s="39" customFormat="1" ht="24.95" customHeight="1" x14ac:dyDescent="0.25">
      <c r="A91" s="51"/>
      <c r="B91" s="48"/>
      <c r="C91" s="49"/>
      <c r="D91" s="50"/>
      <c r="E91" s="54"/>
      <c r="F91" s="55"/>
      <c r="G91" s="40"/>
    </row>
    <row r="92" spans="1:7" x14ac:dyDescent="0.3">
      <c r="A92" s="56"/>
      <c r="B92" s="47"/>
      <c r="C92" s="57"/>
    </row>
    <row r="93" spans="1:7" x14ac:dyDescent="0.3">
      <c r="A93" s="56"/>
      <c r="B93" s="47"/>
      <c r="C93" s="57"/>
    </row>
    <row r="94" spans="1:7" x14ac:dyDescent="0.3">
      <c r="A94" s="62"/>
      <c r="B94" s="47"/>
      <c r="C94" s="57"/>
    </row>
    <row r="95" spans="1:7" ht="24.95" customHeight="1" x14ac:dyDescent="0.3">
      <c r="A95" s="62"/>
      <c r="B95" s="47"/>
      <c r="C95" s="57"/>
    </row>
    <row r="96" spans="1:7" ht="24.95" customHeight="1" x14ac:dyDescent="0.3">
      <c r="A96" s="62"/>
      <c r="B96" s="56"/>
      <c r="C96" s="63"/>
      <c r="D96" s="64"/>
      <c r="E96" s="65"/>
      <c r="F96" s="66"/>
    </row>
    <row r="97" spans="1:6" ht="24.95" customHeight="1" x14ac:dyDescent="0.3">
      <c r="A97" s="62"/>
      <c r="B97" s="57"/>
      <c r="C97" s="63"/>
      <c r="D97" s="64"/>
      <c r="E97" s="65"/>
      <c r="F97" s="66"/>
    </row>
    <row r="98" spans="1:6" ht="24.95" customHeight="1" x14ac:dyDescent="0.3">
      <c r="A98" s="62"/>
      <c r="B98" s="57"/>
      <c r="C98" s="63"/>
      <c r="D98" s="64"/>
      <c r="E98" s="65"/>
      <c r="F98" s="66"/>
    </row>
    <row r="99" spans="1:6" ht="24.95" customHeight="1" x14ac:dyDescent="0.3">
      <c r="A99" s="62"/>
      <c r="B99" s="57"/>
      <c r="C99" s="63"/>
      <c r="D99" s="64"/>
      <c r="E99" s="65"/>
      <c r="F99" s="66"/>
    </row>
    <row r="100" spans="1:6" ht="24.95" customHeight="1" x14ac:dyDescent="0.3">
      <c r="A100" s="62"/>
      <c r="B100" s="57"/>
      <c r="C100" s="63"/>
      <c r="D100" s="64"/>
      <c r="E100" s="65"/>
      <c r="F100" s="66"/>
    </row>
    <row r="101" spans="1:6" ht="24.95" customHeight="1" x14ac:dyDescent="0.3">
      <c r="C101" s="64"/>
      <c r="D101" s="64"/>
      <c r="E101" s="65"/>
      <c r="F101" s="66"/>
    </row>
    <row r="102" spans="1:6" ht="24.95" customHeight="1" x14ac:dyDescent="0.3">
      <c r="C102" s="64"/>
      <c r="D102" s="64"/>
      <c r="E102" s="65"/>
      <c r="F102" s="66"/>
    </row>
    <row r="103" spans="1:6" ht="24.95" customHeight="1" x14ac:dyDescent="0.3">
      <c r="A103" s="58"/>
      <c r="C103" s="64"/>
      <c r="D103" s="64"/>
      <c r="E103" s="65"/>
      <c r="F103" s="66"/>
    </row>
    <row r="104" spans="1:6" ht="24.95" customHeight="1" x14ac:dyDescent="0.3">
      <c r="A104" s="58"/>
      <c r="C104" s="64"/>
      <c r="D104" s="64"/>
      <c r="E104" s="65"/>
      <c r="F104" s="66"/>
    </row>
    <row r="105" spans="1:6" ht="24.95" customHeight="1" x14ac:dyDescent="0.3">
      <c r="A105" s="58"/>
      <c r="C105" s="64"/>
      <c r="D105" s="64"/>
      <c r="E105" s="65"/>
      <c r="F105" s="66"/>
    </row>
    <row r="106" spans="1:6" ht="24.95" customHeight="1" x14ac:dyDescent="0.3">
      <c r="A106" s="58"/>
      <c r="C106" s="64"/>
      <c r="D106" s="64"/>
      <c r="E106" s="65"/>
      <c r="F106" s="66"/>
    </row>
    <row r="107" spans="1:6" ht="24.95" customHeight="1" x14ac:dyDescent="0.3">
      <c r="A107" s="58"/>
      <c r="C107" s="64"/>
      <c r="D107" s="64"/>
      <c r="E107" s="65"/>
      <c r="F107" s="66"/>
    </row>
    <row r="108" spans="1:6" ht="24.95" customHeight="1" x14ac:dyDescent="0.3">
      <c r="A108" s="58"/>
      <c r="C108" s="64"/>
      <c r="D108" s="64"/>
      <c r="E108" s="65"/>
      <c r="F108" s="66"/>
    </row>
    <row r="109" spans="1:6" ht="24.95" customHeight="1" x14ac:dyDescent="0.3">
      <c r="A109" s="58"/>
      <c r="C109" s="64"/>
      <c r="D109" s="64"/>
      <c r="E109" s="65"/>
      <c r="F109" s="66"/>
    </row>
    <row r="110" spans="1:6" ht="24.95" customHeight="1" x14ac:dyDescent="0.3">
      <c r="A110" s="58"/>
      <c r="C110" s="64"/>
      <c r="D110" s="64"/>
      <c r="E110" s="65"/>
      <c r="F110" s="66"/>
    </row>
    <row r="111" spans="1:6" ht="24.95" customHeight="1" x14ac:dyDescent="0.3">
      <c r="A111" s="58"/>
      <c r="C111" s="64"/>
      <c r="D111" s="64"/>
      <c r="E111" s="65"/>
      <c r="F111" s="66"/>
    </row>
    <row r="112" spans="1:6" ht="24.95" customHeight="1" x14ac:dyDescent="0.3">
      <c r="A112" s="58"/>
      <c r="C112" s="64"/>
      <c r="D112" s="64"/>
      <c r="E112" s="65"/>
      <c r="F112" s="66"/>
    </row>
    <row r="113" spans="1:6" ht="24.95" customHeight="1" x14ac:dyDescent="0.3">
      <c r="A113" s="58"/>
      <c r="C113" s="64"/>
      <c r="D113" s="64"/>
      <c r="E113" s="65"/>
      <c r="F113" s="66"/>
    </row>
    <row r="114" spans="1:6" ht="24.95" customHeight="1" x14ac:dyDescent="0.3">
      <c r="A114" s="58"/>
      <c r="C114" s="64"/>
      <c r="D114" s="64"/>
      <c r="E114" s="65"/>
      <c r="F114" s="66"/>
    </row>
    <row r="115" spans="1:6" ht="24.95" customHeight="1" x14ac:dyDescent="0.3">
      <c r="A115" s="58"/>
      <c r="C115" s="64"/>
      <c r="D115" s="64"/>
      <c r="E115" s="65"/>
      <c r="F115" s="66"/>
    </row>
    <row r="116" spans="1:6" ht="24.95" customHeight="1" x14ac:dyDescent="0.3">
      <c r="A116" s="58"/>
      <c r="C116" s="64"/>
      <c r="D116" s="64"/>
      <c r="E116" s="65"/>
      <c r="F116" s="66"/>
    </row>
    <row r="117" spans="1:6" ht="24.95" customHeight="1" x14ac:dyDescent="0.3">
      <c r="A117" s="58"/>
      <c r="C117" s="64"/>
      <c r="D117" s="64"/>
      <c r="E117" s="65"/>
      <c r="F117" s="66"/>
    </row>
    <row r="118" spans="1:6" ht="24.95" customHeight="1" x14ac:dyDescent="0.3">
      <c r="A118" s="58"/>
      <c r="C118" s="64"/>
      <c r="D118" s="64"/>
      <c r="E118" s="65"/>
      <c r="F118" s="66"/>
    </row>
    <row r="119" spans="1:6" ht="24.95" customHeight="1" x14ac:dyDescent="0.3">
      <c r="A119" s="58"/>
      <c r="C119" s="64"/>
      <c r="D119" s="64"/>
      <c r="E119" s="65"/>
      <c r="F119" s="66"/>
    </row>
    <row r="120" spans="1:6" ht="24.95" customHeight="1" x14ac:dyDescent="0.3">
      <c r="A120" s="58"/>
      <c r="C120" s="64"/>
      <c r="D120" s="64"/>
      <c r="E120" s="65"/>
      <c r="F120" s="66"/>
    </row>
    <row r="121" spans="1:6" ht="24.95" customHeight="1" x14ac:dyDescent="0.3">
      <c r="A121" s="58"/>
      <c r="C121" s="64"/>
      <c r="D121" s="64"/>
      <c r="E121" s="65"/>
      <c r="F121" s="66"/>
    </row>
    <row r="122" spans="1:6" ht="24.95" customHeight="1" x14ac:dyDescent="0.3">
      <c r="A122" s="58"/>
      <c r="C122" s="64"/>
      <c r="D122" s="64"/>
      <c r="E122" s="65"/>
      <c r="F122" s="66"/>
    </row>
    <row r="123" spans="1:6" ht="24.95" customHeight="1" x14ac:dyDescent="0.3">
      <c r="A123" s="58"/>
      <c r="C123" s="64"/>
      <c r="D123" s="64"/>
      <c r="E123" s="65"/>
      <c r="F123" s="66"/>
    </row>
    <row r="124" spans="1:6" ht="24.95" customHeight="1" x14ac:dyDescent="0.3">
      <c r="A124" s="58"/>
      <c r="C124" s="64"/>
      <c r="D124" s="64"/>
      <c r="E124" s="65"/>
      <c r="F124" s="66"/>
    </row>
    <row r="125" spans="1:6" ht="24.95" customHeight="1" x14ac:dyDescent="0.3">
      <c r="A125" s="58"/>
      <c r="C125" s="64"/>
      <c r="D125" s="64"/>
      <c r="E125" s="65"/>
      <c r="F125" s="66"/>
    </row>
    <row r="126" spans="1:6" ht="24.95" customHeight="1" x14ac:dyDescent="0.3">
      <c r="A126" s="58"/>
      <c r="C126" s="64"/>
      <c r="D126" s="64"/>
      <c r="E126" s="65"/>
      <c r="F126" s="66"/>
    </row>
    <row r="127" spans="1:6" ht="24.95" customHeight="1" x14ac:dyDescent="0.3">
      <c r="A127" s="58"/>
      <c r="C127" s="64"/>
      <c r="D127" s="64"/>
      <c r="E127" s="65"/>
      <c r="F127" s="66"/>
    </row>
    <row r="128" spans="1:6" ht="24.95" customHeight="1" x14ac:dyDescent="0.3">
      <c r="A128" s="58"/>
      <c r="C128" s="64"/>
      <c r="D128" s="64"/>
      <c r="E128" s="65"/>
      <c r="F128" s="66"/>
    </row>
    <row r="129" spans="1:6" ht="24.95" customHeight="1" x14ac:dyDescent="0.3">
      <c r="A129" s="58"/>
      <c r="C129" s="64"/>
      <c r="D129" s="64"/>
      <c r="E129" s="65"/>
      <c r="F129" s="66"/>
    </row>
    <row r="130" spans="1:6" ht="24.95" customHeight="1" x14ac:dyDescent="0.3">
      <c r="A130" s="58"/>
      <c r="C130" s="64"/>
      <c r="D130" s="64"/>
      <c r="E130" s="65"/>
      <c r="F130" s="66"/>
    </row>
    <row r="131" spans="1:6" ht="24.95" customHeight="1" x14ac:dyDescent="0.3">
      <c r="A131" s="58"/>
      <c r="C131" s="64"/>
      <c r="D131" s="64"/>
      <c r="E131" s="65"/>
      <c r="F131" s="66"/>
    </row>
    <row r="132" spans="1:6" ht="24.95" customHeight="1" x14ac:dyDescent="0.3">
      <c r="A132" s="58"/>
      <c r="C132" s="64"/>
      <c r="D132" s="64"/>
      <c r="E132" s="65"/>
      <c r="F132" s="66"/>
    </row>
    <row r="133" spans="1:6" ht="24.95" customHeight="1" x14ac:dyDescent="0.3">
      <c r="A133" s="58"/>
      <c r="C133" s="64"/>
      <c r="D133" s="64"/>
      <c r="E133" s="65"/>
      <c r="F133" s="66"/>
    </row>
    <row r="134" spans="1:6" ht="24.95" customHeight="1" x14ac:dyDescent="0.3">
      <c r="A134" s="58"/>
      <c r="C134" s="64"/>
      <c r="D134" s="64"/>
      <c r="E134" s="65"/>
      <c r="F134" s="66"/>
    </row>
    <row r="135" spans="1:6" ht="24.95" customHeight="1" x14ac:dyDescent="0.3">
      <c r="A135" s="58"/>
      <c r="C135" s="64"/>
      <c r="D135" s="64"/>
      <c r="E135" s="65"/>
      <c r="F135" s="66"/>
    </row>
    <row r="136" spans="1:6" ht="24.95" customHeight="1" x14ac:dyDescent="0.3">
      <c r="A136" s="58"/>
      <c r="C136" s="64"/>
      <c r="D136" s="64"/>
      <c r="E136" s="65"/>
      <c r="F136" s="66"/>
    </row>
    <row r="137" spans="1:6" ht="24.95" customHeight="1" x14ac:dyDescent="0.3">
      <c r="A137" s="58"/>
      <c r="C137" s="64"/>
      <c r="D137" s="64"/>
      <c r="E137" s="65"/>
      <c r="F137" s="66"/>
    </row>
    <row r="138" spans="1:6" ht="24.95" customHeight="1" x14ac:dyDescent="0.3">
      <c r="A138" s="58"/>
      <c r="C138" s="64"/>
      <c r="D138" s="64"/>
      <c r="E138" s="65"/>
      <c r="F138" s="66"/>
    </row>
    <row r="139" spans="1:6" ht="24.95" customHeight="1" x14ac:dyDescent="0.3">
      <c r="A139" s="58"/>
      <c r="C139" s="64"/>
      <c r="D139" s="64"/>
      <c r="E139" s="65"/>
      <c r="F139" s="66"/>
    </row>
    <row r="140" spans="1:6" ht="24.95" customHeight="1" x14ac:dyDescent="0.3">
      <c r="A140" s="58"/>
      <c r="C140" s="64"/>
      <c r="D140" s="64"/>
      <c r="E140" s="65"/>
      <c r="F140" s="66"/>
    </row>
    <row r="141" spans="1:6" ht="24.95" customHeight="1" x14ac:dyDescent="0.3">
      <c r="A141" s="58"/>
      <c r="C141" s="64"/>
      <c r="D141" s="64"/>
      <c r="E141" s="65"/>
      <c r="F141" s="66"/>
    </row>
    <row r="142" spans="1:6" ht="24.95" customHeight="1" x14ac:dyDescent="0.3">
      <c r="A142" s="58"/>
      <c r="C142" s="64"/>
      <c r="D142" s="64"/>
      <c r="E142" s="65"/>
      <c r="F142" s="66"/>
    </row>
    <row r="143" spans="1:6" ht="24.95" customHeight="1" x14ac:dyDescent="0.3">
      <c r="A143" s="58"/>
      <c r="C143" s="64"/>
      <c r="D143" s="64"/>
      <c r="E143" s="65"/>
      <c r="F143" s="66"/>
    </row>
    <row r="144" spans="1:6" ht="24.95" customHeight="1" x14ac:dyDescent="0.3">
      <c r="A144" s="58"/>
      <c r="C144" s="64"/>
      <c r="D144" s="64"/>
      <c r="E144" s="65"/>
      <c r="F144" s="66"/>
    </row>
    <row r="145" spans="1:6" ht="24.95" customHeight="1" x14ac:dyDescent="0.3">
      <c r="A145" s="58"/>
      <c r="C145" s="64"/>
      <c r="D145" s="64"/>
      <c r="E145" s="65"/>
      <c r="F145" s="66"/>
    </row>
    <row r="146" spans="1:6" ht="24.95" customHeight="1" x14ac:dyDescent="0.3">
      <c r="A146" s="58"/>
      <c r="C146" s="64"/>
      <c r="D146" s="64"/>
      <c r="E146" s="65"/>
      <c r="F146" s="66"/>
    </row>
    <row r="147" spans="1:6" ht="24.95" customHeight="1" x14ac:dyDescent="0.3">
      <c r="A147" s="58"/>
      <c r="C147" s="64"/>
      <c r="D147" s="64"/>
      <c r="E147" s="65"/>
      <c r="F147" s="66"/>
    </row>
    <row r="148" spans="1:6" ht="24.95" customHeight="1" x14ac:dyDescent="0.3">
      <c r="A148" s="58"/>
      <c r="C148" s="64"/>
      <c r="D148" s="64"/>
      <c r="E148" s="65"/>
      <c r="F148" s="66"/>
    </row>
    <row r="149" spans="1:6" ht="24.95" customHeight="1" x14ac:dyDescent="0.3">
      <c r="A149" s="58"/>
      <c r="C149" s="64"/>
      <c r="D149" s="64"/>
      <c r="E149" s="65"/>
      <c r="F149" s="66"/>
    </row>
    <row r="150" spans="1:6" ht="24.95" customHeight="1" x14ac:dyDescent="0.3">
      <c r="A150" s="58"/>
      <c r="C150" s="64"/>
      <c r="D150" s="64"/>
      <c r="E150" s="65"/>
      <c r="F150" s="66"/>
    </row>
    <row r="151" spans="1:6" ht="24.95" customHeight="1" x14ac:dyDescent="0.3">
      <c r="A151" s="58"/>
      <c r="C151" s="64"/>
      <c r="D151" s="64"/>
      <c r="E151" s="65"/>
      <c r="F151" s="66"/>
    </row>
    <row r="152" spans="1:6" ht="24.95" customHeight="1" x14ac:dyDescent="0.3">
      <c r="A152" s="58"/>
      <c r="C152" s="64"/>
      <c r="D152" s="64"/>
      <c r="E152" s="65"/>
      <c r="F152" s="66"/>
    </row>
    <row r="153" spans="1:6" ht="24.95" customHeight="1" x14ac:dyDescent="0.3">
      <c r="A153" s="58"/>
      <c r="C153" s="64"/>
      <c r="D153" s="64"/>
      <c r="E153" s="65"/>
      <c r="F153" s="66"/>
    </row>
    <row r="154" spans="1:6" ht="24.95" customHeight="1" x14ac:dyDescent="0.3">
      <c r="A154" s="58"/>
      <c r="C154" s="64"/>
      <c r="D154" s="64"/>
      <c r="E154" s="65"/>
      <c r="F154" s="66"/>
    </row>
    <row r="155" spans="1:6" ht="24.95" customHeight="1" x14ac:dyDescent="0.3">
      <c r="A155" s="58"/>
      <c r="C155" s="64"/>
      <c r="D155" s="64"/>
      <c r="E155" s="65"/>
      <c r="F155" s="66"/>
    </row>
    <row r="156" spans="1:6" ht="24.95" customHeight="1" x14ac:dyDescent="0.3">
      <c r="A156" s="58"/>
      <c r="C156" s="64"/>
      <c r="D156" s="64"/>
      <c r="E156" s="65"/>
      <c r="F156" s="66"/>
    </row>
    <row r="157" spans="1:6" ht="24.95" customHeight="1" x14ac:dyDescent="0.3">
      <c r="A157" s="58"/>
      <c r="C157" s="64"/>
      <c r="D157" s="64"/>
      <c r="E157" s="65"/>
      <c r="F157" s="66"/>
    </row>
    <row r="158" spans="1:6" ht="24.95" customHeight="1" x14ac:dyDescent="0.3">
      <c r="A158" s="58"/>
      <c r="C158" s="64"/>
      <c r="D158" s="64"/>
      <c r="E158" s="65"/>
      <c r="F158" s="66"/>
    </row>
    <row r="159" spans="1:6" ht="24.95" customHeight="1" x14ac:dyDescent="0.3">
      <c r="A159" s="58"/>
      <c r="C159" s="64"/>
      <c r="D159" s="64"/>
      <c r="E159" s="65"/>
      <c r="F159" s="66"/>
    </row>
    <row r="160" spans="1:6" ht="24.95" customHeight="1" x14ac:dyDescent="0.3">
      <c r="A160" s="58"/>
      <c r="C160" s="64"/>
      <c r="D160" s="64"/>
      <c r="E160" s="65"/>
      <c r="F160" s="66"/>
    </row>
    <row r="161" spans="1:6" ht="24.95" customHeight="1" x14ac:dyDescent="0.3">
      <c r="A161" s="58"/>
      <c r="C161" s="64"/>
      <c r="D161" s="64"/>
      <c r="E161" s="65"/>
      <c r="F161" s="66"/>
    </row>
    <row r="162" spans="1:6" ht="24.95" customHeight="1" x14ac:dyDescent="0.3">
      <c r="A162" s="58"/>
      <c r="C162" s="64"/>
      <c r="D162" s="64"/>
      <c r="E162" s="65"/>
      <c r="F162" s="66"/>
    </row>
    <row r="163" spans="1:6" ht="24.95" customHeight="1" x14ac:dyDescent="0.3">
      <c r="A163" s="58"/>
      <c r="C163" s="64"/>
      <c r="D163" s="64"/>
      <c r="E163" s="65"/>
      <c r="F163" s="66"/>
    </row>
    <row r="164" spans="1:6" ht="24.95" customHeight="1" x14ac:dyDescent="0.3">
      <c r="A164" s="58"/>
      <c r="C164" s="64"/>
      <c r="D164" s="64"/>
      <c r="E164" s="65"/>
      <c r="F164" s="66"/>
    </row>
    <row r="165" spans="1:6" ht="24.95" customHeight="1" x14ac:dyDescent="0.3">
      <c r="A165" s="58"/>
      <c r="C165" s="64"/>
      <c r="D165" s="64"/>
      <c r="E165" s="65"/>
      <c r="F165" s="66"/>
    </row>
    <row r="166" spans="1:6" ht="24.95" customHeight="1" x14ac:dyDescent="0.3">
      <c r="A166" s="58"/>
      <c r="C166" s="64"/>
      <c r="D166" s="64"/>
      <c r="E166" s="65"/>
      <c r="F166" s="66"/>
    </row>
    <row r="167" spans="1:6" ht="24.95" customHeight="1" x14ac:dyDescent="0.3">
      <c r="A167" s="58"/>
      <c r="C167" s="64"/>
      <c r="D167" s="64"/>
      <c r="E167" s="65"/>
      <c r="F167" s="66"/>
    </row>
    <row r="168" spans="1:6" ht="24.95" customHeight="1" x14ac:dyDescent="0.3">
      <c r="A168" s="58"/>
      <c r="C168" s="64"/>
      <c r="D168" s="64"/>
      <c r="E168" s="65"/>
      <c r="F168" s="66"/>
    </row>
    <row r="169" spans="1:6" ht="24.95" customHeight="1" x14ac:dyDescent="0.3">
      <c r="A169" s="58"/>
      <c r="C169" s="64"/>
      <c r="D169" s="64"/>
      <c r="E169" s="65"/>
      <c r="F169" s="66"/>
    </row>
    <row r="170" spans="1:6" ht="24.95" customHeight="1" x14ac:dyDescent="0.3">
      <c r="A170" s="58"/>
      <c r="C170" s="64"/>
      <c r="D170" s="64"/>
      <c r="E170" s="65"/>
      <c r="F170" s="66"/>
    </row>
    <row r="171" spans="1:6" ht="24.95" customHeight="1" x14ac:dyDescent="0.3">
      <c r="A171" s="58"/>
      <c r="C171" s="64"/>
      <c r="D171" s="64"/>
      <c r="E171" s="65"/>
      <c r="F171" s="66"/>
    </row>
    <row r="172" spans="1:6" ht="24.95" customHeight="1" x14ac:dyDescent="0.3">
      <c r="A172" s="58"/>
      <c r="C172" s="64"/>
      <c r="D172" s="64"/>
      <c r="E172" s="65"/>
      <c r="F172" s="66"/>
    </row>
    <row r="173" spans="1:6" ht="24.95" customHeight="1" x14ac:dyDescent="0.3">
      <c r="A173" s="58"/>
      <c r="C173" s="64"/>
      <c r="D173" s="64"/>
      <c r="E173" s="65"/>
      <c r="F173" s="66"/>
    </row>
    <row r="174" spans="1:6" ht="24.95" customHeight="1" x14ac:dyDescent="0.3">
      <c r="A174" s="58"/>
      <c r="C174" s="64"/>
      <c r="D174" s="64"/>
      <c r="E174" s="65"/>
      <c r="F174" s="66"/>
    </row>
    <row r="175" spans="1:6" ht="24.95" customHeight="1" x14ac:dyDescent="0.3">
      <c r="A175" s="58"/>
      <c r="C175" s="64"/>
      <c r="D175" s="64"/>
      <c r="E175" s="65"/>
      <c r="F175" s="66"/>
    </row>
    <row r="176" spans="1:6" ht="24.95" customHeight="1" x14ac:dyDescent="0.3">
      <c r="A176" s="58"/>
      <c r="C176" s="64"/>
      <c r="D176" s="64"/>
      <c r="E176" s="65"/>
      <c r="F176" s="66"/>
    </row>
    <row r="177" spans="1:6" ht="24.95" customHeight="1" x14ac:dyDescent="0.3">
      <c r="A177" s="58"/>
      <c r="C177" s="64"/>
      <c r="D177" s="64"/>
      <c r="E177" s="65"/>
      <c r="F177" s="66"/>
    </row>
    <row r="178" spans="1:6" ht="24.95" customHeight="1" x14ac:dyDescent="0.3">
      <c r="A178" s="58"/>
      <c r="C178" s="64"/>
      <c r="D178" s="64"/>
      <c r="E178" s="65"/>
      <c r="F178" s="66"/>
    </row>
    <row r="179" spans="1:6" ht="24.95" customHeight="1" x14ac:dyDescent="0.3">
      <c r="A179" s="58"/>
      <c r="C179" s="64"/>
      <c r="D179" s="64"/>
      <c r="E179" s="65"/>
      <c r="F179" s="66"/>
    </row>
    <row r="180" spans="1:6" ht="24.95" customHeight="1" x14ac:dyDescent="0.3">
      <c r="A180" s="58"/>
      <c r="C180" s="64"/>
      <c r="D180" s="64"/>
      <c r="E180" s="65"/>
      <c r="F180" s="66"/>
    </row>
    <row r="181" spans="1:6" ht="24.95" customHeight="1" x14ac:dyDescent="0.3">
      <c r="A181" s="58"/>
      <c r="C181" s="64"/>
      <c r="D181" s="64"/>
      <c r="E181" s="65"/>
      <c r="F181" s="66"/>
    </row>
    <row r="182" spans="1:6" ht="24.95" customHeight="1" x14ac:dyDescent="0.3">
      <c r="A182" s="58"/>
      <c r="C182" s="64"/>
      <c r="D182" s="64"/>
      <c r="E182" s="65"/>
      <c r="F182" s="66"/>
    </row>
    <row r="183" spans="1:6" ht="24.95" customHeight="1" x14ac:dyDescent="0.3">
      <c r="A183" s="58"/>
      <c r="C183" s="64"/>
      <c r="D183" s="64"/>
      <c r="E183" s="65"/>
      <c r="F183" s="66"/>
    </row>
    <row r="184" spans="1:6" ht="24.95" customHeight="1" x14ac:dyDescent="0.3">
      <c r="A184" s="58"/>
      <c r="C184" s="64"/>
      <c r="D184" s="64"/>
      <c r="E184" s="65"/>
      <c r="F184" s="66"/>
    </row>
    <row r="185" spans="1:6" ht="24.95" customHeight="1" x14ac:dyDescent="0.3">
      <c r="A185" s="58"/>
      <c r="C185" s="64"/>
      <c r="D185" s="64"/>
      <c r="E185" s="65"/>
      <c r="F185" s="66"/>
    </row>
    <row r="186" spans="1:6" ht="24.95" customHeight="1" x14ac:dyDescent="0.3">
      <c r="A186" s="58"/>
      <c r="C186" s="64"/>
      <c r="D186" s="64"/>
      <c r="E186" s="65"/>
      <c r="F186" s="66"/>
    </row>
    <row r="187" spans="1:6" ht="24.95" customHeight="1" x14ac:dyDescent="0.3">
      <c r="A187" s="58"/>
      <c r="C187" s="64"/>
      <c r="D187" s="64"/>
      <c r="E187" s="65"/>
      <c r="F187" s="66"/>
    </row>
    <row r="188" spans="1:6" ht="24.95" customHeight="1" x14ac:dyDescent="0.3">
      <c r="A188" s="58"/>
      <c r="C188" s="64"/>
      <c r="D188" s="64"/>
      <c r="E188" s="65"/>
      <c r="F188" s="66"/>
    </row>
    <row r="189" spans="1:6" ht="24.95" customHeight="1" x14ac:dyDescent="0.3">
      <c r="A189" s="58"/>
      <c r="C189" s="64"/>
      <c r="D189" s="64"/>
      <c r="E189" s="65"/>
      <c r="F189" s="66"/>
    </row>
    <row r="190" spans="1:6" ht="24.95" customHeight="1" x14ac:dyDescent="0.3">
      <c r="A190" s="58"/>
      <c r="C190" s="64"/>
      <c r="D190" s="64"/>
      <c r="E190" s="65"/>
      <c r="F190" s="66"/>
    </row>
    <row r="191" spans="1:6" ht="24.95" customHeight="1" x14ac:dyDescent="0.3">
      <c r="A191" s="58"/>
      <c r="C191" s="64"/>
      <c r="D191" s="64"/>
      <c r="E191" s="65"/>
      <c r="F191" s="66"/>
    </row>
    <row r="192" spans="1:6" ht="24.95" customHeight="1" x14ac:dyDescent="0.3">
      <c r="A192" s="58"/>
      <c r="C192" s="64"/>
      <c r="D192" s="64"/>
      <c r="E192" s="65"/>
      <c r="F192" s="66"/>
    </row>
    <row r="193" spans="1:6" ht="24.95" customHeight="1" x14ac:dyDescent="0.3">
      <c r="A193" s="58"/>
      <c r="C193" s="64"/>
      <c r="D193" s="64"/>
      <c r="E193" s="65"/>
      <c r="F193" s="66"/>
    </row>
    <row r="194" spans="1:6" ht="24.95" customHeight="1" x14ac:dyDescent="0.3">
      <c r="A194" s="58"/>
      <c r="C194" s="64"/>
      <c r="D194" s="64"/>
      <c r="E194" s="65"/>
      <c r="F194" s="66"/>
    </row>
    <row r="195" spans="1:6" ht="24.95" customHeight="1" x14ac:dyDescent="0.3">
      <c r="A195" s="58"/>
      <c r="C195" s="64"/>
      <c r="D195" s="64"/>
      <c r="E195" s="65"/>
      <c r="F195" s="66"/>
    </row>
    <row r="196" spans="1:6" ht="24.95" customHeight="1" x14ac:dyDescent="0.3">
      <c r="A196" s="58"/>
      <c r="C196" s="64"/>
      <c r="D196" s="64"/>
      <c r="E196" s="65"/>
      <c r="F196" s="66"/>
    </row>
    <row r="197" spans="1:6" ht="24.95" customHeight="1" x14ac:dyDescent="0.3">
      <c r="A197" s="58"/>
      <c r="C197" s="64"/>
      <c r="D197" s="64"/>
      <c r="E197" s="65"/>
      <c r="F197" s="66"/>
    </row>
    <row r="198" spans="1:6" ht="24.95" customHeight="1" x14ac:dyDescent="0.3">
      <c r="A198" s="58"/>
      <c r="C198" s="64"/>
      <c r="D198" s="64"/>
      <c r="E198" s="65"/>
      <c r="F198" s="66"/>
    </row>
    <row r="199" spans="1:6" ht="24.95" customHeight="1" x14ac:dyDescent="0.3">
      <c r="A199" s="58"/>
      <c r="C199" s="64"/>
      <c r="D199" s="64"/>
      <c r="E199" s="65"/>
      <c r="F199" s="66"/>
    </row>
    <row r="200" spans="1:6" ht="24.95" customHeight="1" x14ac:dyDescent="0.3">
      <c r="A200" s="58"/>
      <c r="C200" s="64"/>
      <c r="D200" s="64"/>
      <c r="E200" s="65"/>
      <c r="F200" s="66"/>
    </row>
    <row r="201" spans="1:6" ht="24.95" customHeight="1" x14ac:dyDescent="0.3">
      <c r="A201" s="58"/>
      <c r="C201" s="64"/>
      <c r="D201" s="64"/>
      <c r="E201" s="65"/>
      <c r="F201" s="66"/>
    </row>
    <row r="202" spans="1:6" ht="24.95" customHeight="1" x14ac:dyDescent="0.3">
      <c r="A202" s="58"/>
      <c r="C202" s="64"/>
      <c r="D202" s="64"/>
      <c r="E202" s="65"/>
      <c r="F202" s="66"/>
    </row>
    <row r="203" spans="1:6" ht="24.95" customHeight="1" x14ac:dyDescent="0.3">
      <c r="A203" s="58"/>
      <c r="C203" s="64"/>
      <c r="D203" s="64"/>
      <c r="E203" s="65"/>
      <c r="F203" s="66"/>
    </row>
    <row r="204" spans="1:6" ht="24.95" customHeight="1" x14ac:dyDescent="0.3">
      <c r="A204" s="58"/>
      <c r="C204" s="64"/>
      <c r="D204" s="64"/>
      <c r="E204" s="65"/>
      <c r="F204" s="66"/>
    </row>
    <row r="205" spans="1:6" ht="24.95" customHeight="1" x14ac:dyDescent="0.3">
      <c r="A205" s="58"/>
      <c r="C205" s="64"/>
      <c r="D205" s="64"/>
      <c r="E205" s="65"/>
      <c r="F205" s="66"/>
    </row>
    <row r="206" spans="1:6" ht="24.95" customHeight="1" x14ac:dyDescent="0.3">
      <c r="A206" s="58"/>
      <c r="C206" s="64"/>
      <c r="D206" s="64"/>
      <c r="E206" s="65"/>
      <c r="F206" s="66"/>
    </row>
    <row r="207" spans="1:6" ht="24.95" customHeight="1" x14ac:dyDescent="0.3">
      <c r="A207" s="58"/>
      <c r="C207" s="64"/>
      <c r="D207" s="64"/>
      <c r="E207" s="65"/>
      <c r="F207" s="66"/>
    </row>
    <row r="208" spans="1:6" ht="24.95" customHeight="1" x14ac:dyDescent="0.3">
      <c r="A208" s="58"/>
      <c r="C208" s="64"/>
      <c r="D208" s="64"/>
    </row>
    <row r="209" spans="1:4" ht="24.95" customHeight="1" x14ac:dyDescent="0.3">
      <c r="A209" s="58"/>
      <c r="C209" s="64"/>
      <c r="D209" s="64"/>
    </row>
    <row r="210" spans="1:4" ht="24.95" customHeight="1" x14ac:dyDescent="0.3">
      <c r="A210" s="58"/>
      <c r="C210" s="64"/>
      <c r="D210" s="64"/>
    </row>
    <row r="211" spans="1:4" ht="24.95" customHeight="1" x14ac:dyDescent="0.3">
      <c r="A211" s="58"/>
      <c r="C211" s="64"/>
      <c r="D211" s="64"/>
    </row>
    <row r="212" spans="1:4" ht="24.95" customHeight="1" x14ac:dyDescent="0.3">
      <c r="A212" s="58"/>
      <c r="C212" s="64"/>
      <c r="D212" s="64"/>
    </row>
    <row r="213" spans="1:4" ht="24.95" customHeight="1" x14ac:dyDescent="0.3">
      <c r="A213" s="58"/>
      <c r="C213" s="64"/>
      <c r="D213" s="64"/>
    </row>
    <row r="214" spans="1:4" ht="24.95" customHeight="1" x14ac:dyDescent="0.3">
      <c r="A214" s="58"/>
      <c r="C214" s="64"/>
      <c r="D214" s="64"/>
    </row>
    <row r="215" spans="1:4" ht="24.95" customHeight="1" x14ac:dyDescent="0.3">
      <c r="A215" s="58"/>
      <c r="C215" s="64"/>
      <c r="D215" s="64"/>
    </row>
    <row r="216" spans="1:4" ht="24.95" customHeight="1" x14ac:dyDescent="0.3">
      <c r="C216" s="64"/>
      <c r="D216" s="64"/>
    </row>
    <row r="217" spans="1:4" ht="24.95" customHeight="1" x14ac:dyDescent="0.3">
      <c r="C217" s="64"/>
      <c r="D217" s="64"/>
    </row>
    <row r="218" spans="1:4" ht="24.95" customHeight="1" x14ac:dyDescent="0.3">
      <c r="C218" s="64"/>
      <c r="D218" s="64"/>
    </row>
    <row r="219" spans="1:4" ht="24.95" customHeight="1" x14ac:dyDescent="0.3">
      <c r="C219" s="64"/>
      <c r="D219" s="64"/>
    </row>
    <row r="220" spans="1:4" ht="24.95" customHeight="1" x14ac:dyDescent="0.3">
      <c r="C220" s="64"/>
      <c r="D220" s="64"/>
    </row>
    <row r="221" spans="1:4" ht="24.95" customHeight="1" x14ac:dyDescent="0.3">
      <c r="C221" s="64"/>
      <c r="D221" s="64"/>
    </row>
    <row r="222" spans="1:4" ht="24.95" customHeight="1" x14ac:dyDescent="0.3">
      <c r="C222" s="64"/>
      <c r="D222" s="64"/>
    </row>
    <row r="223" spans="1:4" ht="24.95" customHeight="1" x14ac:dyDescent="0.3">
      <c r="C223" s="64"/>
      <c r="D223" s="64"/>
    </row>
    <row r="224" spans="1:4" ht="24.95" customHeight="1" x14ac:dyDescent="0.3">
      <c r="C224" s="64"/>
      <c r="D224" s="64"/>
    </row>
    <row r="225" spans="3:4" ht="24.95" customHeight="1" x14ac:dyDescent="0.3">
      <c r="C225" s="64"/>
      <c r="D225" s="64"/>
    </row>
    <row r="226" spans="3:4" ht="24.95" customHeight="1" x14ac:dyDescent="0.3">
      <c r="C226" s="64"/>
      <c r="D226" s="64"/>
    </row>
    <row r="227" spans="3:4" ht="24.95" customHeight="1" x14ac:dyDescent="0.3">
      <c r="C227" s="64"/>
      <c r="D227" s="64"/>
    </row>
    <row r="228" spans="3:4" ht="24.95" customHeight="1" x14ac:dyDescent="0.3">
      <c r="C228" s="64"/>
      <c r="D228" s="64"/>
    </row>
    <row r="229" spans="3:4" ht="24.95" customHeight="1" x14ac:dyDescent="0.3">
      <c r="C229" s="64"/>
      <c r="D229" s="64"/>
    </row>
    <row r="230" spans="3:4" ht="24.95" customHeight="1" x14ac:dyDescent="0.3">
      <c r="C230" s="64"/>
      <c r="D230" s="64"/>
    </row>
    <row r="231" spans="3:4" ht="24.95" customHeight="1" x14ac:dyDescent="0.3">
      <c r="C231" s="64"/>
      <c r="D231" s="64"/>
    </row>
    <row r="232" spans="3:4" ht="24.95" customHeight="1" x14ac:dyDescent="0.3">
      <c r="C232" s="64"/>
      <c r="D232" s="64"/>
    </row>
    <row r="233" spans="3:4" ht="24.95" customHeight="1" x14ac:dyDescent="0.3">
      <c r="C233" s="64"/>
      <c r="D233" s="64"/>
    </row>
    <row r="234" spans="3:4" ht="24.95" customHeight="1" x14ac:dyDescent="0.3">
      <c r="C234" s="64"/>
      <c r="D234" s="64"/>
    </row>
    <row r="235" spans="3:4" ht="24.95" customHeight="1" x14ac:dyDescent="0.3">
      <c r="C235" s="64"/>
      <c r="D235" s="64"/>
    </row>
    <row r="236" spans="3:4" ht="24.95" customHeight="1" x14ac:dyDescent="0.3">
      <c r="C236" s="64"/>
      <c r="D236" s="64"/>
    </row>
    <row r="237" spans="3:4" ht="24.95" customHeight="1" x14ac:dyDescent="0.3">
      <c r="C237" s="64"/>
      <c r="D237" s="64"/>
    </row>
    <row r="238" spans="3:4" ht="24.95" customHeight="1" x14ac:dyDescent="0.3">
      <c r="C238" s="64"/>
      <c r="D238" s="64"/>
    </row>
    <row r="239" spans="3:4" ht="24.95" customHeight="1" x14ac:dyDescent="0.3">
      <c r="C239" s="64"/>
      <c r="D239" s="64"/>
    </row>
    <row r="240" spans="3:4" ht="24.95" customHeight="1" x14ac:dyDescent="0.3">
      <c r="C240" s="64"/>
      <c r="D240" s="64"/>
    </row>
    <row r="241" spans="3:4" ht="24.95" customHeight="1" x14ac:dyDescent="0.3">
      <c r="C241" s="64"/>
      <c r="D241" s="64"/>
    </row>
    <row r="242" spans="3:4" ht="24.95" customHeight="1" x14ac:dyDescent="0.3">
      <c r="C242" s="64"/>
      <c r="D242" s="64"/>
    </row>
    <row r="243" spans="3:4" ht="24.95" customHeight="1" x14ac:dyDescent="0.3">
      <c r="C243" s="64"/>
      <c r="D243" s="64"/>
    </row>
    <row r="244" spans="3:4" ht="24.95" customHeight="1" x14ac:dyDescent="0.3">
      <c r="C244" s="64"/>
      <c r="D244" s="64"/>
    </row>
    <row r="245" spans="3:4" ht="24.95" customHeight="1" x14ac:dyDescent="0.3">
      <c r="C245" s="64"/>
      <c r="D245" s="64"/>
    </row>
    <row r="246" spans="3:4" ht="24.95" customHeight="1" x14ac:dyDescent="0.3">
      <c r="C246" s="64"/>
      <c r="D246" s="64"/>
    </row>
    <row r="247" spans="3:4" ht="24.95" customHeight="1" x14ac:dyDescent="0.3">
      <c r="C247" s="64"/>
      <c r="D247" s="64"/>
    </row>
    <row r="248" spans="3:4" ht="24.95" customHeight="1" x14ac:dyDescent="0.3">
      <c r="C248" s="64"/>
      <c r="D248" s="64"/>
    </row>
    <row r="249" spans="3:4" ht="24.95" customHeight="1" x14ac:dyDescent="0.3">
      <c r="C249" s="64"/>
      <c r="D249" s="64"/>
    </row>
    <row r="250" spans="3:4" ht="24.95" customHeight="1" x14ac:dyDescent="0.3">
      <c r="C250" s="64"/>
      <c r="D250" s="64"/>
    </row>
    <row r="251" spans="3:4" ht="24.95" customHeight="1" x14ac:dyDescent="0.3">
      <c r="C251" s="64"/>
      <c r="D251" s="64"/>
    </row>
    <row r="252" spans="3:4" ht="24.95" customHeight="1" x14ac:dyDescent="0.3">
      <c r="C252" s="64"/>
      <c r="D252" s="64"/>
    </row>
    <row r="253" spans="3:4" ht="24.95" customHeight="1" x14ac:dyDescent="0.3">
      <c r="C253" s="64"/>
      <c r="D253" s="64"/>
    </row>
    <row r="254" spans="3:4" ht="24.95" customHeight="1" x14ac:dyDescent="0.3">
      <c r="C254" s="64"/>
      <c r="D254" s="64"/>
    </row>
    <row r="255" spans="3:4" ht="24.95" customHeight="1" x14ac:dyDescent="0.3">
      <c r="C255" s="64"/>
      <c r="D255" s="64"/>
    </row>
    <row r="256" spans="3:4" ht="24.95" customHeight="1" x14ac:dyDescent="0.3">
      <c r="C256" s="64"/>
      <c r="D256" s="64"/>
    </row>
    <row r="257" spans="3:4" ht="24.95" customHeight="1" x14ac:dyDescent="0.3">
      <c r="C257" s="64"/>
      <c r="D257" s="64"/>
    </row>
    <row r="258" spans="3:4" ht="24.95" customHeight="1" x14ac:dyDescent="0.3">
      <c r="C258" s="64"/>
      <c r="D258" s="64"/>
    </row>
    <row r="259" spans="3:4" ht="24.95" customHeight="1" x14ac:dyDescent="0.3">
      <c r="C259" s="64"/>
      <c r="D259" s="64"/>
    </row>
    <row r="260" spans="3:4" ht="24.95" customHeight="1" x14ac:dyDescent="0.3">
      <c r="C260" s="64"/>
      <c r="D260" s="64"/>
    </row>
    <row r="261" spans="3:4" ht="24.95" customHeight="1" x14ac:dyDescent="0.3">
      <c r="C261" s="64"/>
      <c r="D261" s="64"/>
    </row>
    <row r="262" spans="3:4" ht="24.95" customHeight="1" x14ac:dyDescent="0.3">
      <c r="C262" s="64"/>
      <c r="D262" s="64"/>
    </row>
    <row r="263" spans="3:4" ht="24.95" customHeight="1" x14ac:dyDescent="0.3">
      <c r="C263" s="64"/>
      <c r="D263" s="64"/>
    </row>
    <row r="264" spans="3:4" ht="24.95" customHeight="1" x14ac:dyDescent="0.3">
      <c r="C264" s="64"/>
      <c r="D264" s="64"/>
    </row>
    <row r="265" spans="3:4" ht="24.95" customHeight="1" x14ac:dyDescent="0.3">
      <c r="C265" s="64"/>
      <c r="D265" s="64"/>
    </row>
    <row r="266" spans="3:4" ht="24.95" customHeight="1" x14ac:dyDescent="0.3">
      <c r="C266" s="64"/>
      <c r="D266" s="64"/>
    </row>
    <row r="267" spans="3:4" ht="24.95" customHeight="1" x14ac:dyDescent="0.3">
      <c r="C267" s="64"/>
      <c r="D267" s="64"/>
    </row>
    <row r="268" spans="3:4" ht="24.95" customHeight="1" x14ac:dyDescent="0.3">
      <c r="C268" s="64"/>
      <c r="D268" s="64"/>
    </row>
    <row r="269" spans="3:4" ht="24.95" customHeight="1" x14ac:dyDescent="0.3">
      <c r="C269" s="64"/>
      <c r="D269" s="64"/>
    </row>
    <row r="270" spans="3:4" ht="24.95" customHeight="1" x14ac:dyDescent="0.3">
      <c r="C270" s="64"/>
      <c r="D270" s="64"/>
    </row>
    <row r="271" spans="3:4" ht="24.95" customHeight="1" x14ac:dyDescent="0.3">
      <c r="C271" s="64"/>
      <c r="D271" s="64"/>
    </row>
    <row r="272" spans="3:4" ht="24.95" customHeight="1" x14ac:dyDescent="0.3">
      <c r="C272" s="64"/>
      <c r="D272" s="64"/>
    </row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</sheetData>
  <mergeCells count="3">
    <mergeCell ref="A1:G1"/>
    <mergeCell ref="A2:G2"/>
    <mergeCell ref="B88:E88"/>
  </mergeCells>
  <conditionalFormatting sqref="B79:B87">
    <cfRule type="duplicateValues" dxfId="5" priority="5" stopIfTrue="1"/>
  </conditionalFormatting>
  <conditionalFormatting sqref="B8">
    <cfRule type="duplicateValues" dxfId="4" priority="4" stopIfTrue="1"/>
  </conditionalFormatting>
  <conditionalFormatting sqref="M22">
    <cfRule type="duplicateValues" dxfId="3" priority="3"/>
  </conditionalFormatting>
  <conditionalFormatting sqref="M51">
    <cfRule type="duplicateValues" dxfId="2" priority="2"/>
  </conditionalFormatting>
  <conditionalFormatting sqref="B4:B7 B9:B78">
    <cfRule type="duplicateValues" dxfId="1" priority="6" stopIfTrue="1"/>
  </conditionalFormatting>
  <conditionalFormatting sqref="B11">
    <cfRule type="duplicateValues" dxfId="0" priority="1" stopIfTrue="1"/>
  </conditionalFormatting>
  <pageMargins left="0.31496062992125984" right="0.15748031496062992" top="0.51181102362204722" bottom="0.51181102362204722" header="0.31496062992125984" footer="0.19685039370078741"/>
  <pageSetup paperSize="9" scale="85" fitToHeight="2" orientation="portrait" blackAndWhite="1" r:id="rId1"/>
  <headerFooter>
    <oddHeader>&amp;LTFR Dt.-&amp;D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PF SHEET (MPPTCL) </vt:lpstr>
      <vt:lpstr>'PF SHEET (MPPTCL)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2025-09-17T10:15:22Z</dcterms:created>
  <dcterms:modified xsi:type="dcterms:W3CDTF">2025-09-17T10:15:40Z</dcterms:modified>
</cp:coreProperties>
</file>